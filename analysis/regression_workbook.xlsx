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_Data" sheetId="1" r:id="rId4"/>
    <sheet state="visible" name="Cleaned_Prepared_Data" sheetId="2" r:id="rId5"/>
    <sheet state="visible" name="Dummy_Variables" sheetId="3" r:id="rId6"/>
    <sheet state="visible" name="Simple_Regression_Output" sheetId="4" r:id="rId7"/>
    <sheet state="visible" name="Multiple_Regression_Output" sheetId="5" r:id="rId8"/>
    <sheet state="visible" name="Predictions_Residuals" sheetId="6" r:id="rId9"/>
    <sheet state="visible" name="Model_Comparison" sheetId="7" r:id="rId10"/>
  </sheets>
  <definedNames/>
  <calcPr/>
  <extLst>
    <ext uri="GoogleSheetsCustomDataVersion2">
      <go:sheetsCustomData xmlns:go="http://customooxmlschemas.google.com/" r:id="rId11" roundtripDataChecksum="FnC6sPu8KvDsXh+nV0TDuMKOPB9IZbmGwY7jYZX2Obk="/>
    </ext>
  </extLst>
</workbook>
</file>

<file path=xl/sharedStrings.xml><?xml version="1.0" encoding="utf-8"?>
<sst xmlns="http://schemas.openxmlformats.org/spreadsheetml/2006/main" count="2388" uniqueCount="165">
  <si>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</si>
  <si>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</si>
  <si>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</si>
  <si>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</si>
  <si>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</si>
  <si>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</si>
  <si>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</si>
  <si>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</si>
  <si>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</si>
  <si>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</si>
  <si>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</si>
  <si>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</si>
  <si>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</si>
  <si>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</si>
  <si>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</si>
  <si>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</si>
  <si>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</si>
  <si>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</si>
  <si>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</si>
  <si>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</si>
  <si>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</si>
  <si>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</si>
  <si>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</si>
  <si>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</si>
  <si>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</si>
  <si>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</si>
  <si>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</si>
  <si>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</si>
  <si>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</si>
  <si>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</si>
  <si>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</si>
  <si>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</si>
  <si>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</si>
  <si>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</si>
  <si>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</si>
  <si>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</si>
  <si>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</si>
  <si>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</si>
  <si>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</si>
  <si>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</si>
  <si>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</si>
  <si>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</si>
  <si>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</si>
  <si>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</si>
  <si>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</si>
  <si>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</si>
  <si>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</si>
  <si>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</si>
  <si>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</si>
  <si>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</si>
  <si>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</si>
  <si>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</si>
  <si>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</si>
  <si>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</si>
  <si>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</si>
  <si>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</si>
  <si>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</si>
  <si>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</si>
  <si>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</si>
  <si>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</si>
  <si>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</si>
  <si>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</si>
  <si>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</si>
  <si>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</si>
  <si>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</si>
  <si>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</si>
  <si>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</si>
  <si>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</si>
  <si>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</si>
  <si>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</si>
  <si>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</si>
  <si>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</si>
  <si>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</si>
  <si>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</si>
  <si>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</si>
  <si>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</si>
  <si>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</si>
  <si>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</si>
  <si>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</si>
  <si>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</si>
  <si>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</si>
  <si>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</si>
  <si>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</si>
  <si>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</si>
  <si>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</si>
  <si>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</si>
  <si>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</si>
  <si>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</si>
  <si>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</si>
  <si>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</si>
  <si>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</si>
  <si>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</si>
  <si>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</si>
  <si>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</si>
  <si>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</si>
  <si>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</si>
  <si>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</si>
  <si>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</si>
  <si>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</si>
  <si>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</si>
  <si>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</si>
  <si>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</si>
  <si>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</si>
  <si>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</si>
  <si>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</si>
  <si>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store_type_High Street</t>
  </si>
  <si>
    <t>store_type_Mall</t>
  </si>
  <si>
    <t>store_type_Residential</t>
  </si>
  <si>
    <t>SINGLE REGRESSION ANALYSIS</t>
  </si>
  <si>
    <t>Model 1: monthly_sales ~ marketing_spend</t>
  </si>
  <si>
    <t>Coefficient</t>
  </si>
  <si>
    <t>Intercept</t>
  </si>
  <si>
    <t>Independent Variable</t>
  </si>
  <si>
    <t>R_Squared</t>
  </si>
  <si>
    <t>Dependent Variable</t>
  </si>
  <si>
    <t>Regression Equation</t>
  </si>
  <si>
    <t>P-Value</t>
  </si>
  <si>
    <t>Business Interpretation</t>
  </si>
  <si>
    <t>For every additional $1.00 spent on marketing, monthly sales are expected to increase by $2.13, proving a positive return on promotional investments. If marketing spend is entirely eliminated, the stores maintain a structural baseline sales level of $560,774.22. Yes. The P-value (2.48E-14) is far below the standard 0.05 threshold, meaning marketing spend is a highly reliable and statistically significant predictor of monthly sales.</t>
  </si>
  <si>
    <t>Variable Appears Useful?</t>
  </si>
  <si>
    <t>LINEST function used below is an array function, it calculates an entire table of regression statistics instantly from a single cell.</t>
  </si>
  <si>
    <t>SCROLL DOWN FOR MODEL 2 SINGLE REGRESSION OUTPUT</t>
  </si>
  <si>
    <t>Model 2: monthly_sales ~ footfall</t>
  </si>
  <si>
    <t>Equation</t>
  </si>
  <si>
    <t>For every one-unit increase in footfall, monthly_sales changes by the coefficient amount.</t>
  </si>
  <si>
    <t>Task 5 - Multiple Regression Model</t>
  </si>
  <si>
    <t>Dependent Variable: monthly_sales</t>
  </si>
  <si>
    <t>Independent Variables: marketing_spend, footfall, staff_count, holiday_flag</t>
  </si>
  <si>
    <t>Variable</t>
  </si>
  <si>
    <t>Std Error</t>
  </si>
  <si>
    <t>t-Statistic</t>
  </si>
  <si>
    <t>Significant?</t>
  </si>
  <si>
    <t>Predicted_Sales</t>
  </si>
  <si>
    <t>Residual</t>
  </si>
  <si>
    <t>Residual_Squared</t>
  </si>
  <si>
    <t>Absolute_Residual</t>
  </si>
  <si>
    <t>Metric</t>
  </si>
  <si>
    <t>Value</t>
  </si>
  <si>
    <t>Mean Residual</t>
  </si>
  <si>
    <t>Maximum Residual</t>
  </si>
  <si>
    <t>Minimum Residual</t>
  </si>
  <si>
    <t>Mean Absolute Residual</t>
  </si>
  <si>
    <t>Residual Standard Deviation</t>
  </si>
  <si>
    <t>RESIDUAL ANALYSIS</t>
  </si>
  <si>
    <t>MODEL COMPARISON</t>
  </si>
  <si>
    <t>Model</t>
  </si>
  <si>
    <t>Independent Variables</t>
  </si>
  <si>
    <t>R-Squared</t>
  </si>
  <si>
    <t>Significant Variables</t>
  </si>
  <si>
    <t>Business Usefulness</t>
  </si>
  <si>
    <t>Simple Regression 1</t>
  </si>
  <si>
    <t>Measures the impact of marketing investment on sales</t>
  </si>
  <si>
    <t>Simple Regression 2</t>
  </si>
  <si>
    <t>Measures the impact of customer traffic on sales</t>
  </si>
  <si>
    <t>Multiple Regression</t>
  </si>
  <si>
    <t>marketing_spend, footfall, staff_count, holiday_flag</t>
  </si>
  <si>
    <t>marketing_spend, footfall</t>
  </si>
  <si>
    <t>Evaluates multiple sales drivers simultaneously</t>
  </si>
  <si>
    <t>Rank</t>
  </si>
  <si>
    <t>Reason</t>
  </si>
  <si>
    <t>Highest explanatory power and includes multiple predictors</t>
  </si>
  <si>
    <t>Simple Regression 2 (Footfall)</t>
  </si>
  <si>
    <t>Strong predictor with high explanatory power</t>
  </si>
  <si>
    <t>Simple Regression 1 (Marketing Spend)</t>
  </si>
  <si>
    <t>Lowest explanatory power among the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</si>
</sst>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yyyy-mm-dd h:mm:ss"/>
    <numFmt numFmtId="166" formatCode="0.0000000000000000"/>
  </numFmts>
  <fonts count="17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2.0"/>
      <color theme="1"/>
      <name val="Calibri"/>
    </font>
    <font>
      <color theme="0"/>
      <name val="Calibri"/>
    </font>
    <font>
      <color rgb="FFB7E1CD"/>
      <name val="Calibri"/>
    </font>
    <font>
      <b/>
      <sz val="13.0"/>
      <color theme="0"/>
      <name val="Calibri"/>
    </font>
    <font>
      <b/>
      <color theme="0"/>
      <name val="Calibri"/>
    </font>
    <font>
      <b/>
      <sz val="11.0"/>
      <color theme="1"/>
      <name val="Calibri"/>
    </font>
    <font>
      <color rgb="FF000000"/>
      <name val="Calibri"/>
    </font>
    <font>
      <sz val="11.0"/>
      <color rgb="FF000000"/>
      <name val="Calibri"/>
    </font>
    <font>
      <b/>
      <sz val="18.0"/>
      <color theme="1"/>
      <name val="Calibri"/>
    </font>
    <font>
      <b/>
      <sz val="15.0"/>
      <color theme="0"/>
      <name val="Calibri"/>
    </font>
    <font>
      <sz val="11.0"/>
      <color theme="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164" xfId="0" applyFont="1" applyNumberFormat="1"/>
    <xf borderId="0" fillId="0" fontId="2" numFmtId="0" xfId="0" applyFont="1"/>
    <xf borderId="1" fillId="3" fontId="4" numFmtId="0" xfId="0" applyAlignment="1" applyBorder="1" applyFill="1" applyFont="1">
      <alignment horizontal="center" shrinkToFit="0" vertical="top" wrapText="1"/>
    </xf>
    <xf borderId="0" fillId="2" fontId="1" numFmtId="0" xfId="0" applyAlignment="1" applyFont="1">
      <alignment shrinkToFit="0" wrapText="1"/>
    </xf>
    <xf borderId="0" fillId="0" fontId="2" numFmtId="165" xfId="0" applyFont="1" applyNumberFormat="1"/>
    <xf borderId="0" fillId="4" fontId="5" numFmtId="0" xfId="0" applyFill="1" applyFont="1"/>
    <xf borderId="0" fillId="4" fontId="3" numFmtId="0" xfId="0" applyFont="1"/>
    <xf borderId="0" fillId="0" fontId="6" numFmtId="0" xfId="0" applyFont="1"/>
    <xf borderId="0" fillId="5" fontId="6" numFmtId="0" xfId="0" applyFill="1" applyFont="1"/>
    <xf borderId="0" fillId="0" fontId="3" numFmtId="166" xfId="0" applyFont="1" applyNumberFormat="1"/>
    <xf borderId="0" fillId="0" fontId="3" numFmtId="0" xfId="0" applyAlignment="1" applyFont="1">
      <alignment horizontal="center" shrinkToFit="0" wrapText="1"/>
    </xf>
    <xf borderId="0" fillId="0" fontId="3" numFmtId="11" xfId="0" applyFont="1" applyNumberFormat="1"/>
    <xf borderId="0" fillId="4" fontId="5" numFmtId="0" xfId="0" applyAlignment="1" applyFont="1">
      <alignment horizontal="right"/>
    </xf>
    <xf borderId="0" fillId="0" fontId="1" numFmtId="0" xfId="0" applyFont="1"/>
    <xf borderId="0" fillId="4" fontId="7" numFmtId="0" xfId="0" applyFont="1"/>
    <xf borderId="0" fillId="6" fontId="6" numFmtId="0" xfId="0" applyFill="1" applyFont="1"/>
    <xf borderId="0" fillId="4" fontId="8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9" numFmtId="0" xfId="0" applyFont="1"/>
    <xf borderId="0" fillId="7" fontId="7" numFmtId="0" xfId="0" applyFill="1" applyFont="1"/>
    <xf borderId="0" fillId="7" fontId="2" numFmtId="0" xfId="0" applyFont="1"/>
    <xf borderId="0" fillId="8" fontId="10" numFmtId="0" xfId="0" applyFill="1" applyFont="1"/>
    <xf borderId="0" fillId="0" fontId="11" numFmtId="0" xfId="0" applyFont="1"/>
    <xf borderId="0" fillId="2" fontId="1" numFmtId="0" xfId="0" applyFont="1"/>
    <xf borderId="0" fillId="2" fontId="4" numFmtId="0" xfId="0" applyAlignment="1" applyFont="1">
      <alignment horizontal="center"/>
    </xf>
    <xf borderId="0" fillId="2" fontId="4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1" xfId="0" applyFont="1" applyNumberFormat="1"/>
    <xf borderId="0" fillId="6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6" fontId="4" numFmtId="0" xfId="0" applyAlignment="1" applyFont="1">
      <alignment horizontal="right" shrinkToFit="0" wrapText="1"/>
    </xf>
    <xf borderId="0" fillId="9" fontId="12" numFmtId="0" xfId="0" applyAlignment="1" applyFill="1" applyFont="1">
      <alignment readingOrder="0"/>
    </xf>
    <xf borderId="0" fillId="10" fontId="13" numFmtId="0" xfId="0" applyAlignment="1" applyFill="1" applyFont="1">
      <alignment readingOrder="0"/>
    </xf>
    <xf borderId="0" fillId="0" fontId="14" numFmtId="0" xfId="0" applyFont="1"/>
    <xf borderId="0" fillId="2" fontId="15" numFmtId="0" xfId="0" applyAlignment="1" applyFont="1">
      <alignment horizontal="center" readingOrder="0"/>
    </xf>
    <xf borderId="0" fillId="2" fontId="15" numFmtId="0" xfId="0" applyAlignment="1" applyFont="1">
      <alignment horizontal="right"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right"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0.43"/>
    <col customWidth="1" min="3" max="3" width="11.0"/>
    <col customWidth="1" min="4" max="4" width="13.14"/>
    <col customWidth="1" min="5" max="5" width="12.29"/>
    <col customWidth="1" min="6" max="12" width="8.71"/>
    <col customWidth="1" min="13" max="13" width="13.43"/>
    <col customWidth="1" min="14" max="14" width="1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4">
        <v>45658.0</v>
      </c>
      <c r="C2" s="3" t="s">
        <v>15</v>
      </c>
      <c r="D2" s="3" t="s">
        <v>16</v>
      </c>
      <c r="E2" s="3">
        <v>70389.11</v>
      </c>
      <c r="F2" s="3">
        <v>8302.0</v>
      </c>
      <c r="G2" s="3">
        <v>0.042</v>
      </c>
      <c r="H2" s="3">
        <v>17.0</v>
      </c>
      <c r="I2" s="3">
        <v>75.0</v>
      </c>
      <c r="J2" s="3">
        <v>5.28</v>
      </c>
      <c r="K2" s="3">
        <v>1.0</v>
      </c>
      <c r="L2" s="3">
        <v>3.1</v>
      </c>
      <c r="M2" s="3">
        <v>658832.62</v>
      </c>
      <c r="N2" s="3">
        <v>84349.93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B3" s="4">
        <v>45689.0</v>
      </c>
      <c r="C3" s="3" t="s">
        <v>15</v>
      </c>
      <c r="D3" s="3" t="s">
        <v>16</v>
      </c>
      <c r="E3" s="3">
        <v>43827.89</v>
      </c>
      <c r="F3" s="3">
        <v>8487.0</v>
      </c>
      <c r="G3" s="3">
        <v>0.168</v>
      </c>
      <c r="H3" s="3">
        <v>23.0</v>
      </c>
      <c r="I3" s="3">
        <v>84.4</v>
      </c>
      <c r="J3" s="3">
        <v>4.31</v>
      </c>
      <c r="K3" s="3">
        <v>0.0</v>
      </c>
      <c r="L3" s="3">
        <v>2.8</v>
      </c>
      <c r="M3" s="3">
        <v>634436.0</v>
      </c>
      <c r="N3" s="3">
        <v>106130.54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14</v>
      </c>
      <c r="B4" s="4">
        <v>45717.0</v>
      </c>
      <c r="C4" s="3" t="s">
        <v>15</v>
      </c>
      <c r="D4" s="3" t="s">
        <v>16</v>
      </c>
      <c r="E4" s="3">
        <v>59921.75</v>
      </c>
      <c r="F4" s="3">
        <v>9113.0</v>
      </c>
      <c r="G4" s="3">
        <v>0.133</v>
      </c>
      <c r="H4" s="3">
        <v>20.0</v>
      </c>
      <c r="I4" s="3">
        <v>88.0</v>
      </c>
      <c r="J4" s="3">
        <v>12.0</v>
      </c>
      <c r="K4" s="3">
        <v>0.0</v>
      </c>
      <c r="L4" s="3">
        <v>3.2</v>
      </c>
      <c r="M4" s="3">
        <v>678722.06</v>
      </c>
      <c r="N4" s="3">
        <v>101883.86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14</v>
      </c>
      <c r="B5" s="4">
        <v>45748.0</v>
      </c>
      <c r="C5" s="3" t="s">
        <v>15</v>
      </c>
      <c r="D5" s="3" t="s">
        <v>16</v>
      </c>
      <c r="E5" s="3">
        <v>56856.63</v>
      </c>
      <c r="F5" s="3">
        <v>9431.0</v>
      </c>
      <c r="G5" s="3">
        <v>0.142</v>
      </c>
      <c r="H5" s="3">
        <v>23.0</v>
      </c>
      <c r="I5" s="3">
        <v>86.9</v>
      </c>
      <c r="J5" s="3">
        <v>4.97</v>
      </c>
      <c r="K5" s="3">
        <v>0.0</v>
      </c>
      <c r="L5" s="3">
        <v>3.4</v>
      </c>
      <c r="M5" s="3">
        <v>658920.3</v>
      </c>
      <c r="N5" s="3">
        <v>97910.37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17</v>
      </c>
      <c r="B6" s="4">
        <v>45658.0</v>
      </c>
      <c r="C6" s="3" t="s">
        <v>15</v>
      </c>
      <c r="D6" s="3" t="s">
        <v>18</v>
      </c>
      <c r="E6" s="3">
        <v>48412.64</v>
      </c>
      <c r="F6" s="3">
        <v>9545.0</v>
      </c>
      <c r="G6" s="3">
        <v>0.231</v>
      </c>
      <c r="H6" s="3">
        <v>21.0</v>
      </c>
      <c r="I6" s="3">
        <v>97.6</v>
      </c>
      <c r="J6" s="3">
        <v>6.94</v>
      </c>
      <c r="K6" s="3">
        <v>1.0</v>
      </c>
      <c r="L6" s="3">
        <v>4.2</v>
      </c>
      <c r="M6" s="3">
        <v>741341.44</v>
      </c>
      <c r="N6" s="3">
        <v>119208.17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17</v>
      </c>
      <c r="B7" s="4">
        <v>45689.0</v>
      </c>
      <c r="C7" s="3" t="s">
        <v>15</v>
      </c>
      <c r="D7" s="3" t="s">
        <v>18</v>
      </c>
      <c r="E7" s="3">
        <v>64811.21</v>
      </c>
      <c r="F7" s="3">
        <v>9792.0</v>
      </c>
      <c r="G7" s="3">
        <v>0.112</v>
      </c>
      <c r="H7" s="3">
        <v>20.0</v>
      </c>
      <c r="I7" s="3">
        <v>84.2</v>
      </c>
      <c r="J7" s="3">
        <v>2.88</v>
      </c>
      <c r="K7" s="3">
        <v>0.0</v>
      </c>
      <c r="L7" s="3">
        <v>4.2</v>
      </c>
      <c r="M7" s="3">
        <v>761835.34</v>
      </c>
      <c r="N7" s="3">
        <v>149602.23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4">
        <v>45717.0</v>
      </c>
      <c r="C8" s="3" t="s">
        <v>15</v>
      </c>
      <c r="D8" s="3" t="s">
        <v>18</v>
      </c>
      <c r="E8" s="3">
        <v>46213.45</v>
      </c>
      <c r="F8" s="3">
        <v>10616.0</v>
      </c>
      <c r="G8" s="3">
        <v>0.122</v>
      </c>
      <c r="H8" s="3">
        <v>22.0</v>
      </c>
      <c r="I8" s="3">
        <v>85.2</v>
      </c>
      <c r="J8" s="3">
        <v>0.2</v>
      </c>
      <c r="K8" s="3">
        <v>1.0</v>
      </c>
      <c r="L8" s="3">
        <v>4.1</v>
      </c>
      <c r="M8" s="3">
        <v>806615.54</v>
      </c>
      <c r="N8" s="3">
        <v>131364.62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17</v>
      </c>
      <c r="B9" s="4">
        <v>45748.0</v>
      </c>
      <c r="C9" s="3" t="s">
        <v>15</v>
      </c>
      <c r="D9" s="3" t="s">
        <v>18</v>
      </c>
      <c r="E9" s="3">
        <v>68148.52</v>
      </c>
      <c r="F9" s="3">
        <v>8567.0</v>
      </c>
      <c r="G9" s="3">
        <v>0.127</v>
      </c>
      <c r="H9" s="3">
        <v>23.0</v>
      </c>
      <c r="I9" s="3">
        <v>95.6</v>
      </c>
      <c r="J9" s="3">
        <v>0.8</v>
      </c>
      <c r="K9" s="3">
        <v>0.0</v>
      </c>
      <c r="L9" s="3">
        <v>3.9</v>
      </c>
      <c r="M9" s="3">
        <v>850164.26</v>
      </c>
      <c r="N9" s="3">
        <v>149262.75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19</v>
      </c>
      <c r="B10" s="4">
        <v>45658.0</v>
      </c>
      <c r="C10" s="3" t="s">
        <v>20</v>
      </c>
      <c r="D10" s="3" t="s">
        <v>21</v>
      </c>
      <c r="E10" s="3">
        <v>71838.86</v>
      </c>
      <c r="F10" s="3">
        <v>10979.0</v>
      </c>
      <c r="G10" s="3">
        <v>0.215</v>
      </c>
      <c r="H10" s="3">
        <v>26.0</v>
      </c>
      <c r="I10" s="3">
        <v>88.6</v>
      </c>
      <c r="J10" s="3">
        <v>7.7</v>
      </c>
      <c r="K10" s="3">
        <v>1.0</v>
      </c>
      <c r="L10" s="3">
        <v>3.8</v>
      </c>
      <c r="M10" s="3">
        <v>930581.7</v>
      </c>
      <c r="N10" s="3">
        <v>136207.98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19</v>
      </c>
      <c r="B11" s="4">
        <v>45689.0</v>
      </c>
      <c r="C11" s="3" t="s">
        <v>20</v>
      </c>
      <c r="D11" s="3" t="s">
        <v>21</v>
      </c>
      <c r="E11" s="3">
        <v>68133.44</v>
      </c>
      <c r="F11" s="3">
        <v>9459.0</v>
      </c>
      <c r="G11" s="3">
        <v>0.22</v>
      </c>
      <c r="H11" s="3">
        <v>21.0</v>
      </c>
      <c r="I11" s="3">
        <v>85.0</v>
      </c>
      <c r="J11" s="3">
        <v>1.91</v>
      </c>
      <c r="K11" s="3">
        <v>0.0</v>
      </c>
      <c r="L11" s="3">
        <v>4.2</v>
      </c>
      <c r="M11" s="3">
        <v>779010.94</v>
      </c>
      <c r="N11" s="3">
        <v>106328.09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19</v>
      </c>
      <c r="B12" s="4">
        <v>45717.0</v>
      </c>
      <c r="C12" s="3" t="s">
        <v>20</v>
      </c>
      <c r="D12" s="3" t="s">
        <v>21</v>
      </c>
      <c r="E12" s="3">
        <v>34285.21</v>
      </c>
      <c r="F12" s="3">
        <v>9172.0</v>
      </c>
      <c r="G12" s="3">
        <v>0.213</v>
      </c>
      <c r="H12" s="3">
        <v>22.0</v>
      </c>
      <c r="I12" s="3">
        <v>88.3</v>
      </c>
      <c r="J12" s="3">
        <v>10.46</v>
      </c>
      <c r="K12" s="3">
        <v>1.0</v>
      </c>
      <c r="L12" s="3">
        <v>3.8</v>
      </c>
      <c r="M12" s="3">
        <v>723060.76</v>
      </c>
      <c r="N12" s="3">
        <v>123131.24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19</v>
      </c>
      <c r="B13" s="4">
        <v>45748.0</v>
      </c>
      <c r="C13" s="3" t="s">
        <v>20</v>
      </c>
      <c r="D13" s="3" t="s">
        <v>21</v>
      </c>
      <c r="E13" s="3">
        <v>67979.88</v>
      </c>
      <c r="F13" s="3">
        <v>11230.0</v>
      </c>
      <c r="G13" s="3">
        <v>0.002</v>
      </c>
      <c r="H13" s="3">
        <v>28.0</v>
      </c>
      <c r="I13" s="3">
        <v>85.3</v>
      </c>
      <c r="J13" s="3">
        <v>7.16</v>
      </c>
      <c r="K13" s="3">
        <v>0.0</v>
      </c>
      <c r="L13" s="3">
        <v>3.8</v>
      </c>
      <c r="M13" s="3">
        <v>910791.94</v>
      </c>
      <c r="N13" s="3">
        <v>158891.28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22</v>
      </c>
      <c r="B14" s="4">
        <v>45658.0</v>
      </c>
      <c r="C14" s="3" t="s">
        <v>15</v>
      </c>
      <c r="D14" s="3" t="s">
        <v>16</v>
      </c>
      <c r="E14" s="3">
        <v>71828.26</v>
      </c>
      <c r="F14" s="3">
        <v>12775.0</v>
      </c>
      <c r="G14" s="3">
        <v>0.116</v>
      </c>
      <c r="H14" s="3">
        <v>30.0</v>
      </c>
      <c r="I14" s="3">
        <v>81.7</v>
      </c>
      <c r="J14" s="3">
        <v>4.24</v>
      </c>
      <c r="K14" s="3">
        <v>1.0</v>
      </c>
      <c r="L14" s="3">
        <v>4.2</v>
      </c>
      <c r="M14" s="3">
        <v>922168.6</v>
      </c>
      <c r="N14" s="3">
        <v>107494.53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22</v>
      </c>
      <c r="B15" s="4">
        <v>45689.0</v>
      </c>
      <c r="C15" s="3" t="s">
        <v>15</v>
      </c>
      <c r="D15" s="3" t="s">
        <v>16</v>
      </c>
      <c r="E15" s="3">
        <v>55716.82</v>
      </c>
      <c r="F15" s="3">
        <v>10054.0</v>
      </c>
      <c r="G15" s="3">
        <v>0.146</v>
      </c>
      <c r="H15" s="3">
        <v>24.0</v>
      </c>
      <c r="I15" s="3">
        <v>84.9</v>
      </c>
      <c r="J15" s="3">
        <v>1.06</v>
      </c>
      <c r="K15" s="3">
        <v>0.0</v>
      </c>
      <c r="L15" s="3">
        <v>4.3</v>
      </c>
      <c r="M15" s="3">
        <v>726606.28</v>
      </c>
      <c r="N15" s="3">
        <v>122729.29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22</v>
      </c>
      <c r="B16" s="4">
        <v>45717.0</v>
      </c>
      <c r="C16" s="3" t="s">
        <v>15</v>
      </c>
      <c r="D16" s="3" t="s">
        <v>16</v>
      </c>
      <c r="E16" s="3">
        <v>59909.51</v>
      </c>
      <c r="F16" s="3">
        <v>8895.0</v>
      </c>
      <c r="G16" s="3">
        <v>0.228</v>
      </c>
      <c r="H16" s="3">
        <v>23.0</v>
      </c>
      <c r="I16" s="3">
        <v>88.8</v>
      </c>
      <c r="J16" s="3">
        <v>0.27</v>
      </c>
      <c r="K16" s="3">
        <v>0.0</v>
      </c>
      <c r="L16" s="3">
        <v>4.3</v>
      </c>
      <c r="M16" s="3">
        <v>746501.09</v>
      </c>
      <c r="N16" s="3">
        <v>136816.72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22</v>
      </c>
      <c r="B17" s="4">
        <v>45748.0</v>
      </c>
      <c r="C17" s="3" t="s">
        <v>15</v>
      </c>
      <c r="D17" s="3" t="s">
        <v>16</v>
      </c>
      <c r="E17" s="3">
        <v>75305.71</v>
      </c>
      <c r="F17" s="3">
        <v>10940.0</v>
      </c>
      <c r="G17" s="3">
        <v>0.006</v>
      </c>
      <c r="H17" s="3">
        <v>26.0</v>
      </c>
      <c r="I17" s="3">
        <v>76.5</v>
      </c>
      <c r="J17" s="3">
        <v>1.32</v>
      </c>
      <c r="K17" s="3">
        <v>0.0</v>
      </c>
      <c r="L17" s="3">
        <v>4.5</v>
      </c>
      <c r="M17" s="3">
        <v>834017.02</v>
      </c>
      <c r="N17" s="3">
        <v>114745.03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23</v>
      </c>
      <c r="B18" s="4">
        <v>45658.0</v>
      </c>
      <c r="C18" s="3" t="s">
        <v>24</v>
      </c>
      <c r="D18" s="3" t="s">
        <v>16</v>
      </c>
      <c r="E18" s="3">
        <v>48804.22</v>
      </c>
      <c r="F18" s="3">
        <v>7057.0</v>
      </c>
      <c r="G18" s="3">
        <v>0.005</v>
      </c>
      <c r="H18" s="3">
        <v>15.0</v>
      </c>
      <c r="I18" s="3">
        <v>87.7</v>
      </c>
      <c r="J18" s="3">
        <v>1.22</v>
      </c>
      <c r="K18" s="3">
        <v>0.0</v>
      </c>
      <c r="L18" s="3">
        <v>3.7</v>
      </c>
      <c r="M18" s="3">
        <v>666152.52</v>
      </c>
      <c r="N18" s="3">
        <v>107490.58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23</v>
      </c>
      <c r="B19" s="4">
        <v>45689.0</v>
      </c>
      <c r="C19" s="3" t="s">
        <v>24</v>
      </c>
      <c r="D19" s="3" t="s">
        <v>16</v>
      </c>
      <c r="E19" s="3">
        <v>59117.9</v>
      </c>
      <c r="F19" s="3">
        <v>4263.0</v>
      </c>
      <c r="G19" s="3">
        <v>0.119</v>
      </c>
      <c r="H19" s="3">
        <v>9.0</v>
      </c>
      <c r="I19" s="3">
        <v>87.6</v>
      </c>
      <c r="J19" s="3">
        <v>4.01</v>
      </c>
      <c r="K19" s="3">
        <v>0.0</v>
      </c>
      <c r="L19" s="3">
        <v>3.6</v>
      </c>
      <c r="M19" s="3">
        <v>573155.19</v>
      </c>
      <c r="N19" s="3">
        <v>83680.75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23</v>
      </c>
      <c r="B20" s="4">
        <v>45717.0</v>
      </c>
      <c r="C20" s="3" t="s">
        <v>24</v>
      </c>
      <c r="D20" s="3" t="s">
        <v>16</v>
      </c>
      <c r="E20" s="3">
        <v>78831.12</v>
      </c>
      <c r="F20" s="3">
        <v>5538.0</v>
      </c>
      <c r="G20" s="3">
        <v>0.0</v>
      </c>
      <c r="H20" s="3">
        <v>15.0</v>
      </c>
      <c r="I20" s="3">
        <v>94.1</v>
      </c>
      <c r="J20" s="3">
        <v>0.2</v>
      </c>
      <c r="K20" s="3">
        <v>0.0</v>
      </c>
      <c r="L20" s="3">
        <v>3.9</v>
      </c>
      <c r="M20" s="3">
        <v>666573.2</v>
      </c>
      <c r="N20" s="3">
        <v>140641.02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23</v>
      </c>
      <c r="B21" s="4">
        <v>45748.0</v>
      </c>
      <c r="C21" s="3" t="s">
        <v>24</v>
      </c>
      <c r="D21" s="3" t="s">
        <v>16</v>
      </c>
      <c r="E21" s="3">
        <v>41441.93</v>
      </c>
      <c r="F21" s="3">
        <v>4865.0</v>
      </c>
      <c r="G21" s="3">
        <v>0.158</v>
      </c>
      <c r="H21" s="3">
        <v>16.0</v>
      </c>
      <c r="I21" s="3">
        <v>88.3</v>
      </c>
      <c r="J21" s="3">
        <v>0.5</v>
      </c>
      <c r="K21" s="3">
        <v>0.0</v>
      </c>
      <c r="L21" s="3">
        <v>4.0</v>
      </c>
      <c r="M21" s="3">
        <v>591619.95</v>
      </c>
      <c r="N21" s="3">
        <v>99521.35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25</v>
      </c>
      <c r="B22" s="4">
        <v>45658.0</v>
      </c>
      <c r="C22" s="3" t="s">
        <v>20</v>
      </c>
      <c r="D22" s="3" t="s">
        <v>16</v>
      </c>
      <c r="E22" s="3">
        <v>30356.28</v>
      </c>
      <c r="F22" s="3">
        <v>2822.0</v>
      </c>
      <c r="G22" s="3">
        <v>0.231</v>
      </c>
      <c r="H22" s="3">
        <v>9.0</v>
      </c>
      <c r="I22" s="3">
        <v>84.8</v>
      </c>
      <c r="J22" s="3">
        <v>6.95</v>
      </c>
      <c r="K22" s="3">
        <v>0.0</v>
      </c>
      <c r="L22" s="3">
        <v>5.0</v>
      </c>
      <c r="M22" s="3">
        <v>415721.82</v>
      </c>
      <c r="N22" s="3">
        <v>61179.15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25</v>
      </c>
      <c r="B23" s="4">
        <v>45689.0</v>
      </c>
      <c r="C23" s="3" t="s">
        <v>20</v>
      </c>
      <c r="D23" s="3" t="s">
        <v>16</v>
      </c>
      <c r="E23" s="3">
        <v>33518.88</v>
      </c>
      <c r="F23" s="3">
        <v>2121.0</v>
      </c>
      <c r="G23" s="3">
        <v>0.176</v>
      </c>
      <c r="H23" s="3">
        <v>8.0</v>
      </c>
      <c r="I23" s="3">
        <v>88.5</v>
      </c>
      <c r="J23" s="3">
        <v>0.2</v>
      </c>
      <c r="K23" s="3">
        <v>0.0</v>
      </c>
      <c r="L23" s="3">
        <v>5.0</v>
      </c>
      <c r="M23" s="3">
        <v>491905.13</v>
      </c>
      <c r="N23" s="3">
        <v>79212.26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25</v>
      </c>
      <c r="B24" s="4">
        <v>45717.0</v>
      </c>
      <c r="C24" s="3" t="s">
        <v>20</v>
      </c>
      <c r="D24" s="3" t="s">
        <v>16</v>
      </c>
      <c r="E24" s="3">
        <v>42267.37</v>
      </c>
      <c r="F24" s="3">
        <v>3364.0</v>
      </c>
      <c r="G24" s="3">
        <v>0.16</v>
      </c>
      <c r="H24" s="3">
        <v>13.0</v>
      </c>
      <c r="I24" s="3">
        <v>82.0</v>
      </c>
      <c r="J24" s="3">
        <v>1.61</v>
      </c>
      <c r="K24" s="3">
        <v>1.0</v>
      </c>
      <c r="L24" s="3">
        <v>4.6</v>
      </c>
      <c r="M24" s="3">
        <v>555929.4</v>
      </c>
      <c r="N24" s="3">
        <v>115201.76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25</v>
      </c>
      <c r="B25" s="4">
        <v>45748.0</v>
      </c>
      <c r="C25" s="3" t="s">
        <v>20</v>
      </c>
      <c r="D25" s="3" t="s">
        <v>16</v>
      </c>
      <c r="E25" s="3">
        <v>62060.43</v>
      </c>
      <c r="F25" s="3">
        <v>2613.0</v>
      </c>
      <c r="G25" s="3">
        <v>0.216</v>
      </c>
      <c r="H25" s="3">
        <v>12.0</v>
      </c>
      <c r="I25" s="3">
        <v>92.1</v>
      </c>
      <c r="J25" s="3">
        <v>1.55</v>
      </c>
      <c r="K25" s="3">
        <v>0.0</v>
      </c>
      <c r="L25" s="3">
        <v>4.7</v>
      </c>
      <c r="M25" s="3">
        <v>565810.99</v>
      </c>
      <c r="N25" s="3">
        <v>77825.46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26</v>
      </c>
      <c r="B26" s="4">
        <v>45658.0</v>
      </c>
      <c r="C26" s="3" t="s">
        <v>27</v>
      </c>
      <c r="D26" s="3" t="s">
        <v>28</v>
      </c>
      <c r="E26" s="3">
        <v>57696.69</v>
      </c>
      <c r="F26" s="3">
        <v>10218.0</v>
      </c>
      <c r="G26" s="3">
        <v>0.121</v>
      </c>
      <c r="H26" s="3">
        <v>25.0</v>
      </c>
      <c r="I26" s="3">
        <v>94.8</v>
      </c>
      <c r="J26" s="3">
        <v>2.99</v>
      </c>
      <c r="K26" s="3">
        <v>0.0</v>
      </c>
      <c r="L26" s="3">
        <v>3.5</v>
      </c>
      <c r="M26" s="3">
        <v>811771.14</v>
      </c>
      <c r="N26" s="3">
        <v>148756.24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 t="s">
        <v>26</v>
      </c>
      <c r="B27" s="4">
        <v>45689.0</v>
      </c>
      <c r="C27" s="3" t="s">
        <v>27</v>
      </c>
      <c r="D27" s="3" t="s">
        <v>28</v>
      </c>
      <c r="E27" s="3">
        <v>172415.52</v>
      </c>
      <c r="F27" s="3">
        <v>8927.0</v>
      </c>
      <c r="G27" s="3">
        <v>0.14</v>
      </c>
      <c r="H27" s="3">
        <v>22.0</v>
      </c>
      <c r="I27" s="3">
        <v>86.2</v>
      </c>
      <c r="J27" s="3">
        <v>7.04</v>
      </c>
      <c r="K27" s="3">
        <v>0.0</v>
      </c>
      <c r="L27" s="3">
        <v>3.9</v>
      </c>
      <c r="M27" s="3">
        <v>800451.94</v>
      </c>
      <c r="N27" s="3">
        <v>111572.29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26</v>
      </c>
      <c r="B28" s="4">
        <v>45717.0</v>
      </c>
      <c r="C28" s="3" t="s">
        <v>27</v>
      </c>
      <c r="D28" s="3" t="s">
        <v>28</v>
      </c>
      <c r="E28" s="3">
        <v>55270.52</v>
      </c>
      <c r="F28" s="3">
        <v>9315.0</v>
      </c>
      <c r="G28" s="3">
        <v>0.169</v>
      </c>
      <c r="H28" s="3">
        <v>23.0</v>
      </c>
      <c r="I28" s="3">
        <v>91.9</v>
      </c>
      <c r="J28" s="3">
        <v>4.94</v>
      </c>
      <c r="K28" s="3">
        <v>0.0</v>
      </c>
      <c r="L28" s="3">
        <v>4.0</v>
      </c>
      <c r="M28" s="3">
        <v>783672.82</v>
      </c>
      <c r="N28" s="3">
        <v>112577.14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 t="s">
        <v>26</v>
      </c>
      <c r="B29" s="4">
        <v>45748.0</v>
      </c>
      <c r="C29" s="3" t="s">
        <v>27</v>
      </c>
      <c r="D29" s="3" t="s">
        <v>28</v>
      </c>
      <c r="E29" s="3">
        <v>52715.1</v>
      </c>
      <c r="F29" s="3">
        <v>7223.0</v>
      </c>
      <c r="G29" s="3">
        <v>0.122</v>
      </c>
      <c r="H29" s="3">
        <v>16.0</v>
      </c>
      <c r="I29" s="3">
        <v>84.2</v>
      </c>
      <c r="J29" s="3">
        <v>16.15</v>
      </c>
      <c r="K29" s="3">
        <v>0.0</v>
      </c>
      <c r="L29" s="3">
        <v>3.7</v>
      </c>
      <c r="M29" s="3">
        <v>701641.97</v>
      </c>
      <c r="N29" s="3">
        <v>106111.86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 t="s">
        <v>29</v>
      </c>
      <c r="B30" s="4">
        <v>45658.0</v>
      </c>
      <c r="C30" s="3" t="s">
        <v>15</v>
      </c>
      <c r="D30" s="3" t="s">
        <v>16</v>
      </c>
      <c r="E30" s="3">
        <v>68600.62</v>
      </c>
      <c r="F30" s="3">
        <v>3988.0</v>
      </c>
      <c r="G30" s="3">
        <v>0.124</v>
      </c>
      <c r="H30" s="3">
        <v>11.0</v>
      </c>
      <c r="I30" s="3">
        <v>85.0</v>
      </c>
      <c r="J30" s="3">
        <v>0.48</v>
      </c>
      <c r="K30" s="3">
        <v>0.0</v>
      </c>
      <c r="L30" s="3">
        <v>3.6</v>
      </c>
      <c r="M30" s="3">
        <v>511844.41</v>
      </c>
      <c r="N30" s="3">
        <v>72774.44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29</v>
      </c>
      <c r="B31" s="4">
        <v>45689.0</v>
      </c>
      <c r="C31" s="3" t="s">
        <v>15</v>
      </c>
      <c r="D31" s="3" t="s">
        <v>16</v>
      </c>
      <c r="E31" s="3">
        <v>63176.73</v>
      </c>
      <c r="F31" s="3">
        <v>2390.0</v>
      </c>
      <c r="G31" s="3">
        <v>0.216</v>
      </c>
      <c r="H31" s="3">
        <v>9.0</v>
      </c>
      <c r="I31" s="3">
        <v>87.5</v>
      </c>
      <c r="J31" s="3">
        <v>0.31</v>
      </c>
      <c r="K31" s="3">
        <v>0.0</v>
      </c>
      <c r="L31" s="3">
        <v>3.1</v>
      </c>
      <c r="M31" s="3">
        <v>537383.79</v>
      </c>
      <c r="N31" s="3">
        <v>63773.27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29</v>
      </c>
      <c r="B32" s="4">
        <v>45717.0</v>
      </c>
      <c r="C32" s="3" t="s">
        <v>15</v>
      </c>
      <c r="D32" s="3" t="s">
        <v>16</v>
      </c>
      <c r="E32" s="3">
        <v>44970.08</v>
      </c>
      <c r="F32" s="3">
        <v>2471.0</v>
      </c>
      <c r="G32" s="3">
        <v>0.136</v>
      </c>
      <c r="H32" s="3">
        <v>11.0</v>
      </c>
      <c r="I32" s="3">
        <v>87.6</v>
      </c>
      <c r="J32" s="3">
        <v>3.01</v>
      </c>
      <c r="K32" s="3">
        <v>1.0</v>
      </c>
      <c r="L32" s="3">
        <v>3.7</v>
      </c>
      <c r="M32" s="3">
        <v>500173.02</v>
      </c>
      <c r="N32" s="3">
        <v>70982.05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29</v>
      </c>
      <c r="B33" s="4">
        <v>45748.0</v>
      </c>
      <c r="C33" s="3" t="s">
        <v>15</v>
      </c>
      <c r="D33" s="3" t="s">
        <v>16</v>
      </c>
      <c r="E33" s="3">
        <v>69816.35</v>
      </c>
      <c r="F33" s="3">
        <v>971.0</v>
      </c>
      <c r="G33" s="3">
        <v>0.168</v>
      </c>
      <c r="H33" s="3">
        <v>5.0</v>
      </c>
      <c r="I33" s="3">
        <v>89.9</v>
      </c>
      <c r="J33" s="3">
        <v>12.15</v>
      </c>
      <c r="K33" s="3">
        <v>0.0</v>
      </c>
      <c r="L33" s="3">
        <v>3.6</v>
      </c>
      <c r="M33" s="3">
        <v>427917.38</v>
      </c>
      <c r="N33" s="3">
        <v>81824.31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30</v>
      </c>
      <c r="B34" s="4">
        <v>45658.0</v>
      </c>
      <c r="C34" s="3" t="s">
        <v>20</v>
      </c>
      <c r="D34" s="3" t="s">
        <v>16</v>
      </c>
      <c r="E34" s="3">
        <v>54597.83</v>
      </c>
      <c r="F34" s="3">
        <v>9429.0</v>
      </c>
      <c r="G34" s="3">
        <v>0.188</v>
      </c>
      <c r="H34" s="3">
        <v>21.0</v>
      </c>
      <c r="I34" s="3">
        <v>83.3</v>
      </c>
      <c r="J34" s="3">
        <v>11.71</v>
      </c>
      <c r="K34" s="3">
        <v>0.0</v>
      </c>
      <c r="L34" s="3">
        <v>4.2</v>
      </c>
      <c r="M34" s="3">
        <v>641865.03</v>
      </c>
      <c r="N34" s="3">
        <v>81342.58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30</v>
      </c>
      <c r="B35" s="4">
        <v>45689.0</v>
      </c>
      <c r="C35" s="3" t="s">
        <v>20</v>
      </c>
      <c r="D35" s="3" t="s">
        <v>16</v>
      </c>
      <c r="E35" s="3">
        <v>73771.91</v>
      </c>
      <c r="F35" s="3">
        <v>11695.0</v>
      </c>
      <c r="G35" s="3">
        <v>0.07</v>
      </c>
      <c r="H35" s="3">
        <v>25.0</v>
      </c>
      <c r="I35" s="3">
        <v>84.7</v>
      </c>
      <c r="J35" s="3">
        <v>0.62</v>
      </c>
      <c r="K35" s="3">
        <v>0.0</v>
      </c>
      <c r="L35" s="5"/>
      <c r="M35" s="3">
        <v>799477.76</v>
      </c>
      <c r="N35" s="3">
        <v>164974.41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30</v>
      </c>
      <c r="B36" s="4">
        <v>45717.0</v>
      </c>
      <c r="C36" s="3" t="s">
        <v>20</v>
      </c>
      <c r="D36" s="3" t="s">
        <v>16</v>
      </c>
      <c r="E36" s="3">
        <v>74413.88</v>
      </c>
      <c r="F36" s="3">
        <v>9449.0</v>
      </c>
      <c r="G36" s="3">
        <v>0.039</v>
      </c>
      <c r="H36" s="3">
        <v>23.0</v>
      </c>
      <c r="I36" s="3">
        <v>92.1</v>
      </c>
      <c r="J36" s="3">
        <v>2.12</v>
      </c>
      <c r="K36" s="3">
        <v>0.0</v>
      </c>
      <c r="L36" s="3">
        <v>3.5</v>
      </c>
      <c r="M36" s="3">
        <v>798952.17</v>
      </c>
      <c r="N36" s="3">
        <v>161499.04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30</v>
      </c>
      <c r="B37" s="4">
        <v>45748.0</v>
      </c>
      <c r="C37" s="3" t="s">
        <v>20</v>
      </c>
      <c r="D37" s="3" t="s">
        <v>16</v>
      </c>
      <c r="E37" s="3">
        <v>52483.77</v>
      </c>
      <c r="F37" s="3">
        <v>10453.0</v>
      </c>
      <c r="G37" s="3">
        <v>0.247</v>
      </c>
      <c r="H37" s="3">
        <v>25.0</v>
      </c>
      <c r="I37" s="3">
        <v>99.0</v>
      </c>
      <c r="J37" s="3">
        <v>6.31</v>
      </c>
      <c r="K37" s="3">
        <v>0.0</v>
      </c>
      <c r="L37" s="3">
        <v>3.6</v>
      </c>
      <c r="M37" s="3">
        <v>800979.78</v>
      </c>
      <c r="N37" s="3">
        <v>149242.27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31</v>
      </c>
      <c r="B38" s="4">
        <v>45658.0</v>
      </c>
      <c r="C38" s="3" t="s">
        <v>20</v>
      </c>
      <c r="D38" s="3" t="s">
        <v>28</v>
      </c>
      <c r="E38" s="3">
        <v>75269.87</v>
      </c>
      <c r="F38" s="3">
        <v>8838.0</v>
      </c>
      <c r="G38" s="3">
        <v>0.092</v>
      </c>
      <c r="H38" s="3">
        <v>21.0</v>
      </c>
      <c r="I38" s="3">
        <v>83.1</v>
      </c>
      <c r="J38" s="3">
        <v>9.56</v>
      </c>
      <c r="K38" s="3">
        <v>1.0</v>
      </c>
      <c r="L38" s="3">
        <v>4.2</v>
      </c>
      <c r="M38" s="3">
        <v>820593.93</v>
      </c>
      <c r="N38" s="3">
        <v>115860.06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31</v>
      </c>
      <c r="B39" s="4">
        <v>45689.0</v>
      </c>
      <c r="C39" s="3" t="s">
        <v>20</v>
      </c>
      <c r="D39" s="3" t="s">
        <v>28</v>
      </c>
      <c r="E39" s="3">
        <v>61245.41</v>
      </c>
      <c r="F39" s="3">
        <v>8156.0</v>
      </c>
      <c r="G39" s="3">
        <v>0.156</v>
      </c>
      <c r="H39" s="3">
        <v>19.0</v>
      </c>
      <c r="I39" s="3">
        <v>92.9</v>
      </c>
      <c r="J39" s="3">
        <v>9.05</v>
      </c>
      <c r="K39" s="3">
        <v>0.0</v>
      </c>
      <c r="L39" s="3">
        <v>3.8</v>
      </c>
      <c r="M39" s="3">
        <v>718330.53</v>
      </c>
      <c r="N39" s="3">
        <v>93247.9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31</v>
      </c>
      <c r="B40" s="4">
        <v>45717.0</v>
      </c>
      <c r="C40" s="3" t="s">
        <v>20</v>
      </c>
      <c r="D40" s="3" t="s">
        <v>28</v>
      </c>
      <c r="E40" s="3">
        <v>93381.26</v>
      </c>
      <c r="F40" s="3">
        <v>7562.0</v>
      </c>
      <c r="G40" s="3">
        <v>0.198</v>
      </c>
      <c r="H40" s="3">
        <v>19.0</v>
      </c>
      <c r="I40" s="3">
        <v>82.9</v>
      </c>
      <c r="J40" s="3">
        <v>5.05</v>
      </c>
      <c r="K40" s="3">
        <v>0.0</v>
      </c>
      <c r="L40" s="3">
        <v>4.0</v>
      </c>
      <c r="M40" s="3">
        <v>736633.4</v>
      </c>
      <c r="N40" s="3">
        <v>115654.66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31</v>
      </c>
      <c r="B41" s="4">
        <v>45748.0</v>
      </c>
      <c r="C41" s="3" t="s">
        <v>20</v>
      </c>
      <c r="D41" s="3" t="s">
        <v>28</v>
      </c>
      <c r="E41" s="3">
        <v>65012.19</v>
      </c>
      <c r="F41" s="3">
        <v>9598.0</v>
      </c>
      <c r="G41" s="3">
        <v>0.085</v>
      </c>
      <c r="H41" s="3">
        <v>24.0</v>
      </c>
      <c r="I41" s="3">
        <v>98.3</v>
      </c>
      <c r="J41" s="3">
        <v>0.89</v>
      </c>
      <c r="K41" s="3">
        <v>0.0</v>
      </c>
      <c r="L41" s="3">
        <v>3.8</v>
      </c>
      <c r="M41" s="3">
        <v>828623.85</v>
      </c>
      <c r="N41" s="3">
        <v>167320.52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32</v>
      </c>
      <c r="B42" s="4">
        <v>45658.0</v>
      </c>
      <c r="C42" s="3" t="s">
        <v>15</v>
      </c>
      <c r="D42" s="3" t="s">
        <v>28</v>
      </c>
      <c r="E42" s="3">
        <v>40462.94</v>
      </c>
      <c r="F42" s="3">
        <v>3660.0</v>
      </c>
      <c r="G42" s="3">
        <v>0.218</v>
      </c>
      <c r="H42" s="3">
        <v>11.0</v>
      </c>
      <c r="I42" s="3">
        <v>95.2</v>
      </c>
      <c r="J42" s="3">
        <v>5.57</v>
      </c>
      <c r="K42" s="3">
        <v>0.0</v>
      </c>
      <c r="L42" s="3">
        <v>4.4</v>
      </c>
      <c r="M42" s="3">
        <v>592195.85</v>
      </c>
      <c r="N42" s="3">
        <v>92291.56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 t="s">
        <v>32</v>
      </c>
      <c r="B43" s="4">
        <v>45689.0</v>
      </c>
      <c r="C43" s="3" t="s">
        <v>15</v>
      </c>
      <c r="D43" s="3" t="s">
        <v>28</v>
      </c>
      <c r="E43" s="3">
        <v>46123.88</v>
      </c>
      <c r="F43" s="3">
        <v>3227.0</v>
      </c>
      <c r="G43" s="3">
        <v>0.143</v>
      </c>
      <c r="H43" s="3">
        <v>10.0</v>
      </c>
      <c r="I43" s="3">
        <v>75.4</v>
      </c>
      <c r="J43" s="3">
        <v>1.06</v>
      </c>
      <c r="K43" s="3">
        <v>0.0</v>
      </c>
      <c r="L43" s="3">
        <v>4.4</v>
      </c>
      <c r="M43" s="3">
        <v>532644.46</v>
      </c>
      <c r="N43" s="3">
        <v>60681.32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 t="s">
        <v>32</v>
      </c>
      <c r="B44" s="4">
        <v>45717.0</v>
      </c>
      <c r="C44" s="3" t="s">
        <v>15</v>
      </c>
      <c r="D44" s="3" t="s">
        <v>28</v>
      </c>
      <c r="E44" s="3">
        <v>68077.54</v>
      </c>
      <c r="F44" s="3">
        <v>3360.0</v>
      </c>
      <c r="G44" s="3">
        <v>0.128</v>
      </c>
      <c r="H44" s="3">
        <v>14.0</v>
      </c>
      <c r="I44" s="3">
        <v>88.2</v>
      </c>
      <c r="J44" s="3">
        <v>1.24</v>
      </c>
      <c r="K44" s="3">
        <v>1.0</v>
      </c>
      <c r="L44" s="3">
        <v>4.0</v>
      </c>
      <c r="M44" s="3">
        <v>657429.18</v>
      </c>
      <c r="N44" s="3">
        <v>88919.74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 t="s">
        <v>32</v>
      </c>
      <c r="B45" s="4">
        <v>45748.0</v>
      </c>
      <c r="C45" s="3" t="s">
        <v>15</v>
      </c>
      <c r="D45" s="3" t="s">
        <v>28</v>
      </c>
      <c r="E45" s="3">
        <v>64882.14</v>
      </c>
      <c r="F45" s="3">
        <v>3642.0</v>
      </c>
      <c r="G45" s="3">
        <v>0.019</v>
      </c>
      <c r="H45" s="3">
        <v>13.0</v>
      </c>
      <c r="I45" s="3">
        <v>87.8</v>
      </c>
      <c r="J45" s="3">
        <v>4.52</v>
      </c>
      <c r="K45" s="3">
        <v>0.0</v>
      </c>
      <c r="L45" s="3">
        <v>4.2</v>
      </c>
      <c r="M45" s="3">
        <v>605178.0</v>
      </c>
      <c r="N45" s="3">
        <v>106958.74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 t="s">
        <v>33</v>
      </c>
      <c r="B46" s="4">
        <v>45658.0</v>
      </c>
      <c r="C46" s="3" t="s">
        <v>27</v>
      </c>
      <c r="D46" s="3" t="s">
        <v>16</v>
      </c>
      <c r="E46" s="3">
        <v>138855.51</v>
      </c>
      <c r="F46" s="3">
        <v>5145.0</v>
      </c>
      <c r="G46" s="3">
        <v>0.06</v>
      </c>
      <c r="H46" s="3">
        <v>17.0</v>
      </c>
      <c r="I46" s="3">
        <v>88.2</v>
      </c>
      <c r="J46" s="3">
        <v>9.58</v>
      </c>
      <c r="K46" s="3">
        <v>0.0</v>
      </c>
      <c r="L46" s="3">
        <v>3.2</v>
      </c>
      <c r="M46" s="3">
        <v>595467.6</v>
      </c>
      <c r="N46" s="3">
        <v>104276.46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 t="s">
        <v>33</v>
      </c>
      <c r="B47" s="4">
        <v>45689.0</v>
      </c>
      <c r="C47" s="3" t="s">
        <v>27</v>
      </c>
      <c r="D47" s="3" t="s">
        <v>16</v>
      </c>
      <c r="E47" s="3">
        <v>63630.21</v>
      </c>
      <c r="F47" s="3">
        <v>4460.0</v>
      </c>
      <c r="G47" s="3">
        <v>0.235</v>
      </c>
      <c r="H47" s="3">
        <v>14.0</v>
      </c>
      <c r="I47" s="3">
        <v>98.6</v>
      </c>
      <c r="J47" s="3">
        <v>5.52</v>
      </c>
      <c r="K47" s="3">
        <v>0.0</v>
      </c>
      <c r="L47" s="3">
        <v>3.5</v>
      </c>
      <c r="M47" s="3">
        <v>599603.4</v>
      </c>
      <c r="N47" s="3">
        <v>112685.12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 t="s">
        <v>33</v>
      </c>
      <c r="B48" s="4">
        <v>45717.0</v>
      </c>
      <c r="C48" s="3" t="s">
        <v>27</v>
      </c>
      <c r="D48" s="3" t="s">
        <v>16</v>
      </c>
      <c r="E48" s="3">
        <v>50043.65</v>
      </c>
      <c r="F48" s="3">
        <v>3804.0</v>
      </c>
      <c r="G48" s="3">
        <v>0.113</v>
      </c>
      <c r="H48" s="3">
        <v>11.0</v>
      </c>
      <c r="I48" s="3">
        <v>90.9</v>
      </c>
      <c r="J48" s="3">
        <v>2.7</v>
      </c>
      <c r="K48" s="3">
        <v>1.0</v>
      </c>
      <c r="L48" s="3">
        <v>3.2</v>
      </c>
      <c r="M48" s="3">
        <v>614800.09</v>
      </c>
      <c r="N48" s="3">
        <v>100044.2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 t="s">
        <v>33</v>
      </c>
      <c r="B49" s="4">
        <v>45748.0</v>
      </c>
      <c r="C49" s="3" t="s">
        <v>27</v>
      </c>
      <c r="D49" s="3" t="s">
        <v>16</v>
      </c>
      <c r="E49" s="3">
        <v>42093.84</v>
      </c>
      <c r="F49" s="3">
        <v>4074.0</v>
      </c>
      <c r="G49" s="3">
        <v>0.155</v>
      </c>
      <c r="H49" s="3">
        <v>15.0</v>
      </c>
      <c r="I49" s="3">
        <v>88.0</v>
      </c>
      <c r="J49" s="3">
        <v>9.64</v>
      </c>
      <c r="K49" s="3">
        <v>0.0</v>
      </c>
      <c r="L49" s="3">
        <v>3.3</v>
      </c>
      <c r="M49" s="3">
        <v>585365.73</v>
      </c>
      <c r="N49" s="3">
        <v>81011.52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 t="s">
        <v>34</v>
      </c>
      <c r="B50" s="4">
        <v>45658.0</v>
      </c>
      <c r="C50" s="3" t="s">
        <v>20</v>
      </c>
      <c r="D50" s="3" t="s">
        <v>28</v>
      </c>
      <c r="E50" s="3">
        <v>46624.05</v>
      </c>
      <c r="F50" s="3">
        <v>5104.0</v>
      </c>
      <c r="G50" s="3">
        <v>0.109</v>
      </c>
      <c r="H50" s="3">
        <v>11.0</v>
      </c>
      <c r="I50" s="3">
        <v>97.3</v>
      </c>
      <c r="J50" s="3">
        <v>3.49</v>
      </c>
      <c r="K50" s="3">
        <v>1.0</v>
      </c>
      <c r="L50" s="3">
        <v>4.7</v>
      </c>
      <c r="M50" s="3">
        <v>622811.74</v>
      </c>
      <c r="N50" s="3">
        <v>109978.35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 t="s">
        <v>34</v>
      </c>
      <c r="B51" s="4">
        <v>45689.0</v>
      </c>
      <c r="C51" s="3" t="s">
        <v>20</v>
      </c>
      <c r="D51" s="3" t="s">
        <v>28</v>
      </c>
      <c r="E51" s="3">
        <v>49710.29</v>
      </c>
      <c r="F51" s="3">
        <v>5559.0</v>
      </c>
      <c r="G51" s="3">
        <v>0.218</v>
      </c>
      <c r="H51" s="3">
        <v>14.0</v>
      </c>
      <c r="I51" s="3">
        <v>71.0</v>
      </c>
      <c r="J51" s="3">
        <v>9.11</v>
      </c>
      <c r="K51" s="3">
        <v>0.0</v>
      </c>
      <c r="L51" s="3">
        <v>4.6</v>
      </c>
      <c r="M51" s="3">
        <v>603297.57</v>
      </c>
      <c r="N51" s="3">
        <v>60592.26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 t="s">
        <v>34</v>
      </c>
      <c r="B52" s="4">
        <v>45717.0</v>
      </c>
      <c r="C52" s="3" t="s">
        <v>20</v>
      </c>
      <c r="D52" s="3" t="s">
        <v>28</v>
      </c>
      <c r="E52" s="3">
        <v>48287.85</v>
      </c>
      <c r="F52" s="3">
        <v>5150.0</v>
      </c>
      <c r="G52" s="3">
        <v>0.008</v>
      </c>
      <c r="H52" s="3">
        <v>12.0</v>
      </c>
      <c r="I52" s="3">
        <v>80.4</v>
      </c>
      <c r="J52" s="3">
        <v>7.4</v>
      </c>
      <c r="K52" s="3">
        <v>0.0</v>
      </c>
      <c r="L52" s="3">
        <v>4.5</v>
      </c>
      <c r="M52" s="3">
        <v>625672.86</v>
      </c>
      <c r="N52" s="3">
        <v>118020.12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 t="s">
        <v>34</v>
      </c>
      <c r="B53" s="4">
        <v>45748.0</v>
      </c>
      <c r="C53" s="3" t="s">
        <v>20</v>
      </c>
      <c r="D53" s="3" t="s">
        <v>28</v>
      </c>
      <c r="E53" s="3">
        <v>65312.49</v>
      </c>
      <c r="F53" s="3">
        <v>7189.0</v>
      </c>
      <c r="G53" s="3">
        <v>0.05</v>
      </c>
      <c r="H53" s="3">
        <v>19.0</v>
      </c>
      <c r="I53" s="3">
        <v>93.7</v>
      </c>
      <c r="J53" s="3">
        <v>7.16</v>
      </c>
      <c r="K53" s="3">
        <v>0.0</v>
      </c>
      <c r="L53" s="3">
        <v>4.6</v>
      </c>
      <c r="M53" s="3">
        <v>773815.14</v>
      </c>
      <c r="N53" s="3">
        <v>133948.39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 t="s">
        <v>35</v>
      </c>
      <c r="B54" s="4">
        <v>45658.0</v>
      </c>
      <c r="C54" s="3" t="s">
        <v>27</v>
      </c>
      <c r="D54" s="3" t="s">
        <v>18</v>
      </c>
      <c r="E54" s="3">
        <v>53015.46</v>
      </c>
      <c r="F54" s="3">
        <v>3279.0</v>
      </c>
      <c r="G54" s="3">
        <v>0.087</v>
      </c>
      <c r="H54" s="3">
        <v>9.0</v>
      </c>
      <c r="I54" s="3">
        <v>84.3</v>
      </c>
      <c r="J54" s="3">
        <v>22.02</v>
      </c>
      <c r="K54" s="3">
        <v>0.0</v>
      </c>
      <c r="L54" s="3">
        <v>3.9</v>
      </c>
      <c r="M54" s="3">
        <v>463534.25</v>
      </c>
      <c r="N54" s="3">
        <v>81834.54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 t="s">
        <v>35</v>
      </c>
      <c r="B55" s="4">
        <v>45689.0</v>
      </c>
      <c r="C55" s="3" t="s">
        <v>27</v>
      </c>
      <c r="D55" s="3" t="s">
        <v>18</v>
      </c>
      <c r="E55" s="3">
        <v>99874.01</v>
      </c>
      <c r="F55" s="3">
        <v>5887.0</v>
      </c>
      <c r="G55" s="3">
        <v>0.262</v>
      </c>
      <c r="H55" s="3">
        <v>14.0</v>
      </c>
      <c r="I55" s="3">
        <v>88.7</v>
      </c>
      <c r="J55" s="3">
        <v>6.18</v>
      </c>
      <c r="K55" s="3">
        <v>0.0</v>
      </c>
      <c r="L55" s="3">
        <v>4.7</v>
      </c>
      <c r="M55" s="3">
        <v>746677.75</v>
      </c>
      <c r="N55" s="3">
        <v>122437.84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 t="s">
        <v>35</v>
      </c>
      <c r="B56" s="4">
        <v>45717.0</v>
      </c>
      <c r="C56" s="3" t="s">
        <v>27</v>
      </c>
      <c r="D56" s="3" t="s">
        <v>18</v>
      </c>
      <c r="E56" s="3">
        <v>81195.5</v>
      </c>
      <c r="F56" s="3">
        <v>5516.0</v>
      </c>
      <c r="G56" s="3">
        <v>0.106</v>
      </c>
      <c r="H56" s="3">
        <v>14.0</v>
      </c>
      <c r="I56" s="3">
        <v>88.0</v>
      </c>
      <c r="J56" s="3">
        <v>1.76</v>
      </c>
      <c r="K56" s="3">
        <v>0.0</v>
      </c>
      <c r="L56" s="3">
        <v>4.3</v>
      </c>
      <c r="M56" s="3">
        <v>720852.5</v>
      </c>
      <c r="N56" s="3">
        <v>98565.62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 t="s">
        <v>35</v>
      </c>
      <c r="B57" s="4">
        <v>45748.0</v>
      </c>
      <c r="C57" s="3" t="s">
        <v>27</v>
      </c>
      <c r="D57" s="3" t="s">
        <v>18</v>
      </c>
      <c r="E57" s="3">
        <v>27808.6</v>
      </c>
      <c r="F57" s="3">
        <v>2863.0</v>
      </c>
      <c r="G57" s="3">
        <v>0.08</v>
      </c>
      <c r="H57" s="3">
        <v>13.0</v>
      </c>
      <c r="I57" s="3">
        <v>89.3</v>
      </c>
      <c r="J57" s="3">
        <v>0.47</v>
      </c>
      <c r="K57" s="3">
        <v>0.0</v>
      </c>
      <c r="L57" s="3">
        <v>4.1</v>
      </c>
      <c r="M57" s="3">
        <v>487464.91</v>
      </c>
      <c r="N57" s="3">
        <v>64562.26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 t="s">
        <v>36</v>
      </c>
      <c r="B58" s="4">
        <v>45658.0</v>
      </c>
      <c r="C58" s="3" t="s">
        <v>15</v>
      </c>
      <c r="D58" s="3" t="s">
        <v>21</v>
      </c>
      <c r="E58" s="3">
        <v>19365.06</v>
      </c>
      <c r="F58" s="3">
        <v>2378.0</v>
      </c>
      <c r="G58" s="3">
        <v>0.0</v>
      </c>
      <c r="H58" s="3">
        <v>12.0</v>
      </c>
      <c r="I58" s="3">
        <v>94.8</v>
      </c>
      <c r="J58" s="3">
        <v>0.2</v>
      </c>
      <c r="K58" s="3">
        <v>0.0</v>
      </c>
      <c r="L58" s="3">
        <v>3.5</v>
      </c>
      <c r="M58" s="3">
        <v>518049.26</v>
      </c>
      <c r="N58" s="3">
        <v>108592.49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 t="s">
        <v>36</v>
      </c>
      <c r="B59" s="4">
        <v>45689.0</v>
      </c>
      <c r="C59" s="3" t="s">
        <v>15</v>
      </c>
      <c r="D59" s="3" t="s">
        <v>21</v>
      </c>
      <c r="E59" s="3">
        <v>59405.68</v>
      </c>
      <c r="F59" s="3">
        <v>2515.0</v>
      </c>
      <c r="G59" s="3">
        <v>0.039</v>
      </c>
      <c r="H59" s="3">
        <v>12.0</v>
      </c>
      <c r="I59" s="3">
        <v>76.0</v>
      </c>
      <c r="J59" s="3">
        <v>5.11</v>
      </c>
      <c r="K59" s="3">
        <v>0.0</v>
      </c>
      <c r="L59" s="3">
        <v>3.7</v>
      </c>
      <c r="M59" s="3">
        <v>500298.48</v>
      </c>
      <c r="N59" s="3">
        <v>73461.32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 t="s">
        <v>36</v>
      </c>
      <c r="B60" s="4">
        <v>45717.0</v>
      </c>
      <c r="C60" s="3" t="s">
        <v>15</v>
      </c>
      <c r="D60" s="3" t="s">
        <v>21</v>
      </c>
      <c r="E60" s="3">
        <v>118910.48</v>
      </c>
      <c r="F60" s="3">
        <v>4022.0</v>
      </c>
      <c r="G60" s="3">
        <v>0.137</v>
      </c>
      <c r="H60" s="3">
        <v>11.0</v>
      </c>
      <c r="I60" s="3">
        <v>87.1</v>
      </c>
      <c r="J60" s="3">
        <v>0.2</v>
      </c>
      <c r="K60" s="3">
        <v>0.0</v>
      </c>
      <c r="L60" s="3">
        <v>3.1</v>
      </c>
      <c r="M60" s="3">
        <v>617291.15</v>
      </c>
      <c r="N60" s="3">
        <v>117782.0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 t="s">
        <v>36</v>
      </c>
      <c r="B61" s="4">
        <v>45748.0</v>
      </c>
      <c r="C61" s="3" t="s">
        <v>15</v>
      </c>
      <c r="D61" s="3" t="s">
        <v>21</v>
      </c>
      <c r="E61" s="3">
        <v>52952.12</v>
      </c>
      <c r="F61" s="3">
        <v>4377.0</v>
      </c>
      <c r="G61" s="3">
        <v>0.092</v>
      </c>
      <c r="H61" s="3">
        <v>14.0</v>
      </c>
      <c r="I61" s="3">
        <v>88.6</v>
      </c>
      <c r="J61" s="3">
        <v>13.59</v>
      </c>
      <c r="K61" s="3">
        <v>0.0</v>
      </c>
      <c r="L61" s="3">
        <v>3.1</v>
      </c>
      <c r="M61" s="3">
        <v>553756.43</v>
      </c>
      <c r="N61" s="3">
        <v>86166.77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 t="s">
        <v>37</v>
      </c>
      <c r="B62" s="4">
        <v>45658.0</v>
      </c>
      <c r="C62" s="3" t="s">
        <v>24</v>
      </c>
      <c r="D62" s="3" t="s">
        <v>18</v>
      </c>
      <c r="E62" s="3">
        <v>74907.98</v>
      </c>
      <c r="F62" s="3">
        <v>5306.0</v>
      </c>
      <c r="G62" s="3">
        <v>0.062</v>
      </c>
      <c r="H62" s="3">
        <v>16.0</v>
      </c>
      <c r="I62" s="3">
        <v>95.6</v>
      </c>
      <c r="J62" s="3">
        <v>1.02</v>
      </c>
      <c r="K62" s="3">
        <v>0.0</v>
      </c>
      <c r="L62" s="3">
        <v>3.7</v>
      </c>
      <c r="M62" s="3">
        <v>749559.71</v>
      </c>
      <c r="N62" s="3">
        <v>144522.53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 t="s">
        <v>37</v>
      </c>
      <c r="B63" s="4">
        <v>45689.0</v>
      </c>
      <c r="C63" s="3" t="s">
        <v>24</v>
      </c>
      <c r="D63" s="3" t="s">
        <v>18</v>
      </c>
      <c r="E63" s="3">
        <v>37284.66</v>
      </c>
      <c r="F63" s="3">
        <v>3928.0</v>
      </c>
      <c r="G63" s="3">
        <v>0.074</v>
      </c>
      <c r="H63" s="3">
        <v>12.0</v>
      </c>
      <c r="I63" s="3">
        <v>86.5</v>
      </c>
      <c r="J63" s="3">
        <v>1.64</v>
      </c>
      <c r="K63" s="3">
        <v>0.0</v>
      </c>
      <c r="L63" s="3">
        <v>3.8</v>
      </c>
      <c r="M63" s="3">
        <v>615966.48</v>
      </c>
      <c r="N63" s="3">
        <v>91509.38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 t="s">
        <v>37</v>
      </c>
      <c r="B64" s="4">
        <v>45717.0</v>
      </c>
      <c r="C64" s="3" t="s">
        <v>24</v>
      </c>
      <c r="D64" s="3" t="s">
        <v>18</v>
      </c>
      <c r="E64" s="3">
        <v>50343.19</v>
      </c>
      <c r="F64" s="3">
        <v>3845.0</v>
      </c>
      <c r="G64" s="3">
        <v>0.113</v>
      </c>
      <c r="H64" s="3">
        <v>9.0</v>
      </c>
      <c r="I64" s="3">
        <v>88.7</v>
      </c>
      <c r="J64" s="3">
        <v>5.15</v>
      </c>
      <c r="K64" s="3">
        <v>0.0</v>
      </c>
      <c r="L64" s="3">
        <v>3.3</v>
      </c>
      <c r="M64" s="3">
        <v>572011.2</v>
      </c>
      <c r="N64" s="3">
        <v>101409.68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 t="s">
        <v>37</v>
      </c>
      <c r="B65" s="4">
        <v>45748.0</v>
      </c>
      <c r="C65" s="3" t="s">
        <v>24</v>
      </c>
      <c r="D65" s="3" t="s">
        <v>18</v>
      </c>
      <c r="E65" s="3">
        <v>74954.47</v>
      </c>
      <c r="F65" s="3">
        <v>6620.0</v>
      </c>
      <c r="G65" s="3">
        <v>0.054</v>
      </c>
      <c r="H65" s="3">
        <v>17.0</v>
      </c>
      <c r="I65" s="3">
        <v>91.1</v>
      </c>
      <c r="J65" s="3">
        <v>1.11</v>
      </c>
      <c r="K65" s="3">
        <v>0.0</v>
      </c>
      <c r="L65" s="3">
        <v>3.5</v>
      </c>
      <c r="M65" s="3">
        <v>761860.19</v>
      </c>
      <c r="N65" s="3">
        <v>133279.38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 t="s">
        <v>38</v>
      </c>
      <c r="B66" s="4">
        <v>45658.0</v>
      </c>
      <c r="C66" s="3" t="s">
        <v>27</v>
      </c>
      <c r="D66" s="3" t="s">
        <v>18</v>
      </c>
      <c r="E66" s="3">
        <v>70040.31</v>
      </c>
      <c r="F66" s="3">
        <v>9175.0</v>
      </c>
      <c r="G66" s="3">
        <v>0.107</v>
      </c>
      <c r="H66" s="3">
        <v>23.0</v>
      </c>
      <c r="I66" s="3">
        <v>95.1</v>
      </c>
      <c r="J66" s="3">
        <v>6.08</v>
      </c>
      <c r="K66" s="3">
        <v>1.0</v>
      </c>
      <c r="L66" s="3">
        <v>3.4</v>
      </c>
      <c r="M66" s="3">
        <v>784502.68</v>
      </c>
      <c r="N66" s="3">
        <v>129519.72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 t="s">
        <v>38</v>
      </c>
      <c r="B67" s="4">
        <v>45689.0</v>
      </c>
      <c r="C67" s="3" t="s">
        <v>27</v>
      </c>
      <c r="D67" s="3" t="s">
        <v>18</v>
      </c>
      <c r="E67" s="3">
        <v>51148.69</v>
      </c>
      <c r="F67" s="3">
        <v>7940.0</v>
      </c>
      <c r="G67" s="3">
        <v>0.156</v>
      </c>
      <c r="H67" s="3">
        <v>18.0</v>
      </c>
      <c r="I67" s="3">
        <v>93.3</v>
      </c>
      <c r="J67" s="3">
        <v>10.91</v>
      </c>
      <c r="K67" s="3">
        <v>0.0</v>
      </c>
      <c r="L67" s="3">
        <v>3.6</v>
      </c>
      <c r="M67" s="3">
        <v>717141.55</v>
      </c>
      <c r="N67" s="3">
        <v>134013.61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38</v>
      </c>
      <c r="B68" s="4">
        <v>45717.0</v>
      </c>
      <c r="C68" s="3" t="s">
        <v>27</v>
      </c>
      <c r="D68" s="3" t="s">
        <v>18</v>
      </c>
      <c r="E68" s="3">
        <v>79346.1</v>
      </c>
      <c r="F68" s="3">
        <v>9628.0</v>
      </c>
      <c r="G68" s="3">
        <v>0.102</v>
      </c>
      <c r="H68" s="3">
        <v>20.0</v>
      </c>
      <c r="I68" s="3">
        <v>99.0</v>
      </c>
      <c r="J68" s="3">
        <v>19.01</v>
      </c>
      <c r="K68" s="3">
        <v>1.0</v>
      </c>
      <c r="L68" s="3">
        <v>3.2</v>
      </c>
      <c r="M68" s="3">
        <v>685379.08</v>
      </c>
      <c r="N68" s="3">
        <v>106898.82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 t="s">
        <v>38</v>
      </c>
      <c r="B69" s="4">
        <v>45748.0</v>
      </c>
      <c r="C69" s="3" t="s">
        <v>27</v>
      </c>
      <c r="D69" s="3" t="s">
        <v>18</v>
      </c>
      <c r="E69" s="3">
        <v>42018.4</v>
      </c>
      <c r="F69" s="3">
        <v>8296.0</v>
      </c>
      <c r="G69" s="3">
        <v>0.115</v>
      </c>
      <c r="H69" s="3">
        <v>17.0</v>
      </c>
      <c r="I69" s="3">
        <v>91.8</v>
      </c>
      <c r="J69" s="3">
        <v>0.77</v>
      </c>
      <c r="K69" s="3">
        <v>0.0</v>
      </c>
      <c r="L69" s="3">
        <v>3.4</v>
      </c>
      <c r="M69" s="3">
        <v>740496.65</v>
      </c>
      <c r="N69" s="3">
        <v>128020.9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 t="s">
        <v>39</v>
      </c>
      <c r="B70" s="4">
        <v>45658.0</v>
      </c>
      <c r="C70" s="3" t="s">
        <v>15</v>
      </c>
      <c r="D70" s="3" t="s">
        <v>18</v>
      </c>
      <c r="E70" s="3">
        <v>70937.24</v>
      </c>
      <c r="F70" s="3">
        <v>3595.0</v>
      </c>
      <c r="G70" s="3">
        <v>0.141</v>
      </c>
      <c r="H70" s="3">
        <v>11.0</v>
      </c>
      <c r="I70" s="3">
        <v>88.9</v>
      </c>
      <c r="J70" s="3">
        <v>2.83</v>
      </c>
      <c r="K70" s="3">
        <v>1.0</v>
      </c>
      <c r="L70" s="3">
        <v>3.3</v>
      </c>
      <c r="M70" s="3">
        <v>661927.14</v>
      </c>
      <c r="N70" s="3">
        <v>79218.57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 t="s">
        <v>39</v>
      </c>
      <c r="B71" s="4">
        <v>45689.0</v>
      </c>
      <c r="C71" s="3" t="s">
        <v>15</v>
      </c>
      <c r="D71" s="3" t="s">
        <v>18</v>
      </c>
      <c r="E71" s="3">
        <v>36813.45</v>
      </c>
      <c r="F71" s="3">
        <v>2834.0</v>
      </c>
      <c r="G71" s="3">
        <v>0.191</v>
      </c>
      <c r="H71" s="3">
        <v>11.0</v>
      </c>
      <c r="I71" s="3">
        <v>81.8</v>
      </c>
      <c r="J71" s="3">
        <v>2.33</v>
      </c>
      <c r="K71" s="3">
        <v>0.0</v>
      </c>
      <c r="L71" s="3">
        <v>3.3</v>
      </c>
      <c r="M71" s="3">
        <v>479050.5</v>
      </c>
      <c r="N71" s="3">
        <v>53651.11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 t="s">
        <v>39</v>
      </c>
      <c r="B72" s="4">
        <v>45717.0</v>
      </c>
      <c r="C72" s="3" t="s">
        <v>15</v>
      </c>
      <c r="D72" s="3" t="s">
        <v>18</v>
      </c>
      <c r="E72" s="3">
        <v>60571.82</v>
      </c>
      <c r="F72" s="3">
        <v>3193.0</v>
      </c>
      <c r="G72" s="3">
        <v>0.197</v>
      </c>
      <c r="H72" s="3">
        <v>7.0</v>
      </c>
      <c r="I72" s="3">
        <v>99.0</v>
      </c>
      <c r="J72" s="3">
        <v>1.43</v>
      </c>
      <c r="K72" s="3">
        <v>0.0</v>
      </c>
      <c r="L72" s="3">
        <v>3.2</v>
      </c>
      <c r="M72" s="3">
        <v>605023.87</v>
      </c>
      <c r="N72" s="3">
        <v>98545.81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 t="s">
        <v>39</v>
      </c>
      <c r="B73" s="4">
        <v>45748.0</v>
      </c>
      <c r="C73" s="3" t="s">
        <v>15</v>
      </c>
      <c r="D73" s="3" t="s">
        <v>18</v>
      </c>
      <c r="E73" s="3">
        <v>55081.16</v>
      </c>
      <c r="F73" s="3">
        <v>5485.0</v>
      </c>
      <c r="G73" s="3">
        <v>0.036</v>
      </c>
      <c r="H73" s="3">
        <v>12.0</v>
      </c>
      <c r="I73" s="3">
        <v>88.0</v>
      </c>
      <c r="J73" s="5"/>
      <c r="K73" s="3">
        <v>0.0</v>
      </c>
      <c r="L73" s="3">
        <v>3.5</v>
      </c>
      <c r="M73" s="3">
        <v>674774.09</v>
      </c>
      <c r="N73" s="3">
        <v>141917.59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 t="s">
        <v>40</v>
      </c>
      <c r="B74" s="4">
        <v>45658.0</v>
      </c>
      <c r="C74" s="3" t="s">
        <v>15</v>
      </c>
      <c r="D74" s="3" t="s">
        <v>16</v>
      </c>
      <c r="E74" s="3">
        <v>46201.46</v>
      </c>
      <c r="F74" s="3">
        <v>5918.0</v>
      </c>
      <c r="G74" s="3">
        <v>0.277</v>
      </c>
      <c r="H74" s="3">
        <v>13.0</v>
      </c>
      <c r="I74" s="3">
        <v>78.8</v>
      </c>
      <c r="J74" s="3">
        <v>4.91</v>
      </c>
      <c r="K74" s="3">
        <v>0.0</v>
      </c>
      <c r="L74" s="3">
        <v>4.5</v>
      </c>
      <c r="M74" s="3">
        <v>616069.41</v>
      </c>
      <c r="N74" s="3">
        <v>54453.99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 t="s">
        <v>40</v>
      </c>
      <c r="B75" s="4">
        <v>45689.0</v>
      </c>
      <c r="C75" s="3" t="s">
        <v>15</v>
      </c>
      <c r="D75" s="3" t="s">
        <v>16</v>
      </c>
      <c r="E75" s="3">
        <v>53762.92</v>
      </c>
      <c r="F75" s="3">
        <v>6821.0</v>
      </c>
      <c r="G75" s="3">
        <v>0.066</v>
      </c>
      <c r="H75" s="3">
        <v>19.0</v>
      </c>
      <c r="I75" s="3">
        <v>94.6</v>
      </c>
      <c r="J75" s="3">
        <v>7.03</v>
      </c>
      <c r="K75" s="3">
        <v>0.0</v>
      </c>
      <c r="L75" s="3">
        <v>4.4</v>
      </c>
      <c r="M75" s="3">
        <v>630829.94</v>
      </c>
      <c r="N75" s="3">
        <v>117090.02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 t="s">
        <v>40</v>
      </c>
      <c r="B76" s="4">
        <v>45717.0</v>
      </c>
      <c r="C76" s="3" t="s">
        <v>15</v>
      </c>
      <c r="D76" s="3" t="s">
        <v>16</v>
      </c>
      <c r="E76" s="3">
        <v>70144.78</v>
      </c>
      <c r="F76" s="3">
        <v>6806.0</v>
      </c>
      <c r="G76" s="3">
        <v>0.178</v>
      </c>
      <c r="H76" s="3">
        <v>20.0</v>
      </c>
      <c r="I76" s="3">
        <v>93.1</v>
      </c>
      <c r="J76" s="3">
        <v>0.28</v>
      </c>
      <c r="K76" s="3">
        <v>1.0</v>
      </c>
      <c r="L76" s="3">
        <v>4.3</v>
      </c>
      <c r="M76" s="3">
        <v>788087.68</v>
      </c>
      <c r="N76" s="3">
        <v>116803.42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 t="s">
        <v>40</v>
      </c>
      <c r="B77" s="4">
        <v>45748.0</v>
      </c>
      <c r="C77" s="3" t="s">
        <v>15</v>
      </c>
      <c r="D77" s="3" t="s">
        <v>16</v>
      </c>
      <c r="E77" s="3">
        <v>58749.63</v>
      </c>
      <c r="F77" s="3">
        <v>8252.0</v>
      </c>
      <c r="G77" s="3">
        <v>0.203</v>
      </c>
      <c r="H77" s="3">
        <v>20.0</v>
      </c>
      <c r="I77" s="3">
        <v>85.2</v>
      </c>
      <c r="J77" s="3">
        <v>3.61</v>
      </c>
      <c r="K77" s="3">
        <v>0.0</v>
      </c>
      <c r="L77" s="3">
        <v>4.5</v>
      </c>
      <c r="M77" s="3">
        <v>680840.36</v>
      </c>
      <c r="N77" s="3">
        <v>68007.68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 t="s">
        <v>41</v>
      </c>
      <c r="B78" s="4">
        <v>45658.0</v>
      </c>
      <c r="C78" s="3" t="s">
        <v>24</v>
      </c>
      <c r="D78" s="3" t="s">
        <v>18</v>
      </c>
      <c r="E78" s="3">
        <v>56973.18</v>
      </c>
      <c r="F78" s="3">
        <v>6662.0</v>
      </c>
      <c r="G78" s="3">
        <v>0.1</v>
      </c>
      <c r="H78" s="3">
        <v>15.0</v>
      </c>
      <c r="I78" s="3">
        <v>77.7</v>
      </c>
      <c r="J78" s="3">
        <v>7.52</v>
      </c>
      <c r="K78" s="3">
        <v>1.0</v>
      </c>
      <c r="L78" s="3">
        <v>3.2</v>
      </c>
      <c r="M78" s="3">
        <v>643657.47</v>
      </c>
      <c r="N78" s="3">
        <v>87022.45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 t="s">
        <v>41</v>
      </c>
      <c r="B79" s="4">
        <v>45689.0</v>
      </c>
      <c r="C79" s="3" t="s">
        <v>24</v>
      </c>
      <c r="D79" s="3" t="s">
        <v>18</v>
      </c>
      <c r="E79" s="3">
        <v>54872.82</v>
      </c>
      <c r="F79" s="3">
        <v>5962.0</v>
      </c>
      <c r="G79" s="3">
        <v>0.064</v>
      </c>
      <c r="H79" s="3">
        <v>12.0</v>
      </c>
      <c r="I79" s="3">
        <v>85.4</v>
      </c>
      <c r="J79" s="3">
        <v>2.58</v>
      </c>
      <c r="K79" s="3">
        <v>0.0</v>
      </c>
      <c r="L79" s="3">
        <v>2.9</v>
      </c>
      <c r="M79" s="3">
        <v>691112.6</v>
      </c>
      <c r="N79" s="3">
        <v>109212.83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 t="s">
        <v>41</v>
      </c>
      <c r="B80" s="4">
        <v>45717.0</v>
      </c>
      <c r="C80" s="3" t="s">
        <v>24</v>
      </c>
      <c r="D80" s="3" t="s">
        <v>18</v>
      </c>
      <c r="E80" s="3">
        <v>80562.81</v>
      </c>
      <c r="F80" s="3">
        <v>7470.0</v>
      </c>
      <c r="G80" s="3">
        <v>0.172</v>
      </c>
      <c r="H80" s="3">
        <v>16.0</v>
      </c>
      <c r="I80" s="3">
        <v>83.5</v>
      </c>
      <c r="J80" s="3">
        <v>2.29</v>
      </c>
      <c r="K80" s="3">
        <v>0.0</v>
      </c>
      <c r="L80" s="3">
        <v>3.3</v>
      </c>
      <c r="M80" s="3">
        <v>776922.17</v>
      </c>
      <c r="N80" s="3">
        <v>150701.93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 t="s">
        <v>41</v>
      </c>
      <c r="B81" s="4">
        <v>45748.0</v>
      </c>
      <c r="C81" s="3" t="s">
        <v>24</v>
      </c>
      <c r="D81" s="3" t="s">
        <v>18</v>
      </c>
      <c r="E81" s="3">
        <v>77999.9</v>
      </c>
      <c r="F81" s="3">
        <v>5974.0</v>
      </c>
      <c r="G81" s="3">
        <v>0.252</v>
      </c>
      <c r="H81" s="3">
        <v>14.0</v>
      </c>
      <c r="I81" s="3">
        <v>81.3</v>
      </c>
      <c r="J81" s="3">
        <v>2.39</v>
      </c>
      <c r="K81" s="3">
        <v>0.0</v>
      </c>
      <c r="L81" s="3">
        <v>3.2</v>
      </c>
      <c r="M81" s="3">
        <v>636561.34</v>
      </c>
      <c r="N81" s="3">
        <v>93861.06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 t="s">
        <v>42</v>
      </c>
      <c r="B82" s="4">
        <v>45658.0</v>
      </c>
      <c r="C82" s="3" t="s">
        <v>27</v>
      </c>
      <c r="D82" s="3" t="s">
        <v>28</v>
      </c>
      <c r="E82" s="3">
        <v>60881.01</v>
      </c>
      <c r="F82" s="3">
        <v>5410.0</v>
      </c>
      <c r="G82" s="3">
        <v>0.179</v>
      </c>
      <c r="H82" s="3">
        <v>15.0</v>
      </c>
      <c r="I82" s="3">
        <v>83.9</v>
      </c>
      <c r="J82" s="3">
        <v>5.24</v>
      </c>
      <c r="K82" s="3">
        <v>0.0</v>
      </c>
      <c r="L82" s="3">
        <v>4.6</v>
      </c>
      <c r="M82" s="3">
        <v>621369.58</v>
      </c>
      <c r="N82" s="3">
        <v>85493.64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 t="s">
        <v>42</v>
      </c>
      <c r="B83" s="4">
        <v>45689.0</v>
      </c>
      <c r="C83" s="3" t="s">
        <v>27</v>
      </c>
      <c r="D83" s="3" t="s">
        <v>28</v>
      </c>
      <c r="E83" s="3">
        <v>60628.38</v>
      </c>
      <c r="F83" s="3">
        <v>4451.0</v>
      </c>
      <c r="G83" s="3">
        <v>0.095</v>
      </c>
      <c r="H83" s="3">
        <v>10.0</v>
      </c>
      <c r="I83" s="3">
        <v>89.6</v>
      </c>
      <c r="J83" s="3">
        <v>3.17</v>
      </c>
      <c r="K83" s="3">
        <v>0.0</v>
      </c>
      <c r="L83" s="3">
        <v>4.6</v>
      </c>
      <c r="M83" s="3">
        <v>682208.01</v>
      </c>
      <c r="N83" s="3">
        <v>110318.84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 t="s">
        <v>42</v>
      </c>
      <c r="B84" s="4">
        <v>45717.0</v>
      </c>
      <c r="C84" s="3" t="s">
        <v>27</v>
      </c>
      <c r="D84" s="3" t="s">
        <v>28</v>
      </c>
      <c r="E84" s="3">
        <v>72731.14</v>
      </c>
      <c r="F84" s="3">
        <v>4644.0</v>
      </c>
      <c r="G84" s="3">
        <v>0.084</v>
      </c>
      <c r="H84" s="3">
        <v>15.0</v>
      </c>
      <c r="I84" s="3">
        <v>87.1</v>
      </c>
      <c r="J84" s="3">
        <v>2.66</v>
      </c>
      <c r="K84" s="3">
        <v>0.0</v>
      </c>
      <c r="L84" s="3">
        <v>4.6</v>
      </c>
      <c r="M84" s="3">
        <v>727241.86</v>
      </c>
      <c r="N84" s="3">
        <v>155810.3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 t="s">
        <v>42</v>
      </c>
      <c r="B85" s="4">
        <v>45748.0</v>
      </c>
      <c r="C85" s="3" t="s">
        <v>27</v>
      </c>
      <c r="D85" s="3" t="s">
        <v>28</v>
      </c>
      <c r="E85" s="3">
        <v>36475.71</v>
      </c>
      <c r="F85" s="3">
        <v>3559.0</v>
      </c>
      <c r="G85" s="3">
        <v>0.03</v>
      </c>
      <c r="H85" s="3">
        <v>8.0</v>
      </c>
      <c r="I85" s="3">
        <v>83.6</v>
      </c>
      <c r="J85" s="3">
        <v>1.41</v>
      </c>
      <c r="K85" s="3">
        <v>0.0</v>
      </c>
      <c r="L85" s="3">
        <v>4.2</v>
      </c>
      <c r="M85" s="3">
        <v>569100.78</v>
      </c>
      <c r="N85" s="3">
        <v>104808.78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 t="s">
        <v>43</v>
      </c>
      <c r="B86" s="4">
        <v>45658.0</v>
      </c>
      <c r="C86" s="3" t="s">
        <v>27</v>
      </c>
      <c r="D86" s="3" t="s">
        <v>18</v>
      </c>
      <c r="E86" s="3">
        <v>55388.11</v>
      </c>
      <c r="F86" s="3">
        <v>3091.0</v>
      </c>
      <c r="G86" s="3">
        <v>0.108</v>
      </c>
      <c r="H86" s="3">
        <v>7.0</v>
      </c>
      <c r="I86" s="3">
        <v>85.4</v>
      </c>
      <c r="J86" s="3">
        <v>7.34</v>
      </c>
      <c r="K86" s="3">
        <v>0.0</v>
      </c>
      <c r="L86" s="3">
        <v>4.9</v>
      </c>
      <c r="M86" s="3">
        <v>574436.29</v>
      </c>
      <c r="N86" s="3">
        <v>80271.99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 t="s">
        <v>43</v>
      </c>
      <c r="B87" s="4">
        <v>45689.0</v>
      </c>
      <c r="C87" s="3" t="s">
        <v>27</v>
      </c>
      <c r="D87" s="3" t="s">
        <v>18</v>
      </c>
      <c r="E87" s="3">
        <v>88443.77</v>
      </c>
      <c r="F87" s="3">
        <v>4004.0</v>
      </c>
      <c r="G87" s="3">
        <v>0.206</v>
      </c>
      <c r="H87" s="3">
        <v>11.0</v>
      </c>
      <c r="I87" s="3">
        <v>91.9</v>
      </c>
      <c r="J87" s="3">
        <v>5.95</v>
      </c>
      <c r="K87" s="3">
        <v>0.0</v>
      </c>
      <c r="L87" s="5"/>
      <c r="M87" s="3">
        <v>611766.72</v>
      </c>
      <c r="N87" s="3">
        <v>88275.61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 t="s">
        <v>43</v>
      </c>
      <c r="B88" s="4">
        <v>45717.0</v>
      </c>
      <c r="C88" s="3" t="s">
        <v>27</v>
      </c>
      <c r="D88" s="3" t="s">
        <v>18</v>
      </c>
      <c r="E88" s="3">
        <v>78231.91</v>
      </c>
      <c r="F88" s="3">
        <v>3788.0</v>
      </c>
      <c r="G88" s="3">
        <v>0.059</v>
      </c>
      <c r="H88" s="3">
        <v>11.0</v>
      </c>
      <c r="I88" s="3">
        <v>88.5</v>
      </c>
      <c r="J88" s="3">
        <v>15.51</v>
      </c>
      <c r="K88" s="3">
        <v>0.0</v>
      </c>
      <c r="L88" s="3">
        <v>4.3</v>
      </c>
      <c r="M88" s="3">
        <v>614596.32</v>
      </c>
      <c r="N88" s="3">
        <v>131199.41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 t="s">
        <v>43</v>
      </c>
      <c r="B89" s="4">
        <v>45748.0</v>
      </c>
      <c r="C89" s="3" t="s">
        <v>27</v>
      </c>
      <c r="D89" s="3" t="s">
        <v>18</v>
      </c>
      <c r="E89" s="3">
        <v>18996.32</v>
      </c>
      <c r="F89" s="3">
        <v>1260.0</v>
      </c>
      <c r="G89" s="3">
        <v>0.145</v>
      </c>
      <c r="H89" s="3">
        <v>9.0</v>
      </c>
      <c r="I89" s="3">
        <v>86.4</v>
      </c>
      <c r="J89" s="3">
        <v>4.31</v>
      </c>
      <c r="K89" s="3">
        <v>0.0</v>
      </c>
      <c r="L89" s="3">
        <v>4.6</v>
      </c>
      <c r="M89" s="3">
        <v>450711.92</v>
      </c>
      <c r="N89" s="3">
        <v>90043.76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 t="s">
        <v>44</v>
      </c>
      <c r="B90" s="4">
        <v>45658.0</v>
      </c>
      <c r="C90" s="3" t="s">
        <v>24</v>
      </c>
      <c r="D90" s="3" t="s">
        <v>28</v>
      </c>
      <c r="E90" s="3">
        <v>50517.94</v>
      </c>
      <c r="F90" s="3">
        <v>7024.0</v>
      </c>
      <c r="G90" s="3">
        <v>0.029</v>
      </c>
      <c r="H90" s="3">
        <v>18.0</v>
      </c>
      <c r="I90" s="3">
        <v>79.2</v>
      </c>
      <c r="J90" s="3">
        <v>6.61</v>
      </c>
      <c r="K90" s="3">
        <v>1.0</v>
      </c>
      <c r="L90" s="3">
        <v>4.1</v>
      </c>
      <c r="M90" s="3">
        <v>711213.46</v>
      </c>
      <c r="N90" s="3">
        <v>105863.26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 t="s">
        <v>44</v>
      </c>
      <c r="B91" s="4">
        <v>45689.0</v>
      </c>
      <c r="C91" s="3" t="s">
        <v>24</v>
      </c>
      <c r="D91" s="3" t="s">
        <v>28</v>
      </c>
      <c r="E91" s="3">
        <v>141540.29</v>
      </c>
      <c r="F91" s="3">
        <v>5400.0</v>
      </c>
      <c r="G91" s="3">
        <v>0.013</v>
      </c>
      <c r="H91" s="3">
        <v>12.0</v>
      </c>
      <c r="I91" s="3">
        <v>87.0</v>
      </c>
      <c r="J91" s="3">
        <v>4.26</v>
      </c>
      <c r="K91" s="3">
        <v>0.0</v>
      </c>
      <c r="L91" s="3">
        <v>4.5</v>
      </c>
      <c r="M91" s="3">
        <v>627171.9</v>
      </c>
      <c r="N91" s="3">
        <v>105772.75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 t="s">
        <v>44</v>
      </c>
      <c r="B92" s="4">
        <v>45717.0</v>
      </c>
      <c r="C92" s="3" t="s">
        <v>24</v>
      </c>
      <c r="D92" s="3" t="s">
        <v>28</v>
      </c>
      <c r="E92" s="3">
        <v>82116.19</v>
      </c>
      <c r="F92" s="3">
        <v>5988.0</v>
      </c>
      <c r="G92" s="3">
        <v>0.04</v>
      </c>
      <c r="H92" s="3">
        <v>17.0</v>
      </c>
      <c r="I92" s="3">
        <v>91.8</v>
      </c>
      <c r="J92" s="3">
        <v>5.75</v>
      </c>
      <c r="K92" s="3">
        <v>0.0</v>
      </c>
      <c r="L92" s="3">
        <v>4.7</v>
      </c>
      <c r="M92" s="3">
        <v>739852.58</v>
      </c>
      <c r="N92" s="3">
        <v>129386.43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 t="s">
        <v>44</v>
      </c>
      <c r="B93" s="4">
        <v>45748.0</v>
      </c>
      <c r="C93" s="3" t="s">
        <v>24</v>
      </c>
      <c r="D93" s="3" t="s">
        <v>28</v>
      </c>
      <c r="E93" s="3">
        <v>31207.51</v>
      </c>
      <c r="F93" s="3">
        <v>3701.0</v>
      </c>
      <c r="G93" s="3">
        <v>0.043</v>
      </c>
      <c r="H93" s="3">
        <v>11.0</v>
      </c>
      <c r="I93" s="3">
        <v>84.7</v>
      </c>
      <c r="J93" s="3">
        <v>0.33</v>
      </c>
      <c r="K93" s="3">
        <v>0.0</v>
      </c>
      <c r="L93" s="3">
        <v>4.3</v>
      </c>
      <c r="M93" s="3">
        <v>586307.22</v>
      </c>
      <c r="N93" s="3">
        <v>73927.85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 t="s">
        <v>45</v>
      </c>
      <c r="B94" s="4">
        <v>45658.0</v>
      </c>
      <c r="C94" s="3" t="s">
        <v>27</v>
      </c>
      <c r="D94" s="3" t="s">
        <v>16</v>
      </c>
      <c r="E94" s="3">
        <v>38966.59</v>
      </c>
      <c r="F94" s="3">
        <v>4509.0</v>
      </c>
      <c r="G94" s="3">
        <v>0.194</v>
      </c>
      <c r="H94" s="3">
        <v>14.0</v>
      </c>
      <c r="I94" s="3">
        <v>91.1</v>
      </c>
      <c r="J94" s="3">
        <v>2.92</v>
      </c>
      <c r="K94" s="3">
        <v>0.0</v>
      </c>
      <c r="L94" s="3">
        <v>4.6</v>
      </c>
      <c r="M94" s="3">
        <v>585937.48</v>
      </c>
      <c r="N94" s="3">
        <v>82624.2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 t="s">
        <v>45</v>
      </c>
      <c r="B95" s="4">
        <v>45689.0</v>
      </c>
      <c r="C95" s="3" t="s">
        <v>27</v>
      </c>
      <c r="D95" s="3" t="s">
        <v>16</v>
      </c>
      <c r="E95" s="3">
        <v>67439.3</v>
      </c>
      <c r="F95" s="3">
        <v>6477.0</v>
      </c>
      <c r="G95" s="3">
        <v>0.0</v>
      </c>
      <c r="H95" s="3">
        <v>16.0</v>
      </c>
      <c r="I95" s="3">
        <v>90.9</v>
      </c>
      <c r="J95" s="3">
        <v>1.64</v>
      </c>
      <c r="K95" s="3">
        <v>0.0</v>
      </c>
      <c r="L95" s="3">
        <v>4.5</v>
      </c>
      <c r="M95" s="3">
        <v>753473.55</v>
      </c>
      <c r="N95" s="3">
        <v>151527.22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 t="s">
        <v>45</v>
      </c>
      <c r="B96" s="4">
        <v>45717.0</v>
      </c>
      <c r="C96" s="3" t="s">
        <v>27</v>
      </c>
      <c r="D96" s="3" t="s">
        <v>16</v>
      </c>
      <c r="E96" s="3">
        <v>86421.88</v>
      </c>
      <c r="F96" s="3">
        <v>7970.0</v>
      </c>
      <c r="G96" s="3">
        <v>0.073</v>
      </c>
      <c r="H96" s="3">
        <v>17.0</v>
      </c>
      <c r="I96" s="3">
        <v>91.3</v>
      </c>
      <c r="J96" s="3">
        <v>0.8</v>
      </c>
      <c r="K96" s="3">
        <v>0.0</v>
      </c>
      <c r="L96" s="3">
        <v>5.0</v>
      </c>
      <c r="M96" s="3">
        <v>838250.32</v>
      </c>
      <c r="N96" s="3">
        <v>122939.34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 t="s">
        <v>45</v>
      </c>
      <c r="B97" s="4">
        <v>45748.0</v>
      </c>
      <c r="C97" s="3" t="s">
        <v>27</v>
      </c>
      <c r="D97" s="3" t="s">
        <v>16</v>
      </c>
      <c r="E97" s="3">
        <v>9534.65</v>
      </c>
      <c r="F97" s="3">
        <v>6057.0</v>
      </c>
      <c r="G97" s="3">
        <v>0.074</v>
      </c>
      <c r="H97" s="3">
        <v>15.0</v>
      </c>
      <c r="I97" s="3">
        <v>94.1</v>
      </c>
      <c r="J97" s="3">
        <v>5.79</v>
      </c>
      <c r="K97" s="3">
        <v>0.0</v>
      </c>
      <c r="L97" s="3">
        <v>4.5</v>
      </c>
      <c r="M97" s="3">
        <v>607898.12</v>
      </c>
      <c r="N97" s="3">
        <v>135404.85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 t="s">
        <v>46</v>
      </c>
      <c r="B98" s="4">
        <v>45658.0</v>
      </c>
      <c r="C98" s="3" t="s">
        <v>27</v>
      </c>
      <c r="D98" s="3" t="s">
        <v>28</v>
      </c>
      <c r="E98" s="3">
        <v>61132.07</v>
      </c>
      <c r="F98" s="3">
        <v>6394.0</v>
      </c>
      <c r="G98" s="3">
        <v>0.163</v>
      </c>
      <c r="H98" s="3">
        <v>19.0</v>
      </c>
      <c r="I98" s="3">
        <v>91.0</v>
      </c>
      <c r="J98" s="3">
        <v>19.6</v>
      </c>
      <c r="K98" s="3">
        <v>0.0</v>
      </c>
      <c r="L98" s="3">
        <v>4.4</v>
      </c>
      <c r="M98" s="3">
        <v>691113.62</v>
      </c>
      <c r="N98" s="3">
        <v>135145.44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 t="s">
        <v>46</v>
      </c>
      <c r="B99" s="4">
        <v>45689.0</v>
      </c>
      <c r="C99" s="3" t="s">
        <v>27</v>
      </c>
      <c r="D99" s="3" t="s">
        <v>28</v>
      </c>
      <c r="E99" s="3">
        <v>78839.39</v>
      </c>
      <c r="F99" s="3">
        <v>5150.0</v>
      </c>
      <c r="G99" s="3">
        <v>0.171</v>
      </c>
      <c r="H99" s="3">
        <v>13.0</v>
      </c>
      <c r="I99" s="3">
        <v>85.8</v>
      </c>
      <c r="J99" s="3">
        <v>7.57</v>
      </c>
      <c r="K99" s="3">
        <v>0.0</v>
      </c>
      <c r="L99" s="3">
        <v>4.3</v>
      </c>
      <c r="M99" s="3">
        <v>735509.4</v>
      </c>
      <c r="N99" s="3">
        <v>83895.96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 t="s">
        <v>46</v>
      </c>
      <c r="B100" s="4">
        <v>45717.0</v>
      </c>
      <c r="C100" s="3" t="s">
        <v>27</v>
      </c>
      <c r="D100" s="3" t="s">
        <v>28</v>
      </c>
      <c r="E100" s="3">
        <v>38752.8</v>
      </c>
      <c r="F100" s="3">
        <v>4712.0</v>
      </c>
      <c r="G100" s="3">
        <v>0.075</v>
      </c>
      <c r="H100" s="3">
        <v>15.0</v>
      </c>
      <c r="I100" s="3">
        <v>89.7</v>
      </c>
      <c r="J100" s="5"/>
      <c r="K100" s="3">
        <v>0.0</v>
      </c>
      <c r="L100" s="3">
        <v>4.3</v>
      </c>
      <c r="M100" s="3">
        <v>605775.33</v>
      </c>
      <c r="N100" s="3">
        <v>107194.6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 t="s">
        <v>46</v>
      </c>
      <c r="B101" s="4">
        <v>45748.0</v>
      </c>
      <c r="C101" s="3" t="s">
        <v>27</v>
      </c>
      <c r="D101" s="3" t="s">
        <v>28</v>
      </c>
      <c r="E101" s="3">
        <v>55101.1</v>
      </c>
      <c r="F101" s="3">
        <v>5281.0</v>
      </c>
      <c r="G101" s="3">
        <v>0.189</v>
      </c>
      <c r="H101" s="3">
        <v>11.0</v>
      </c>
      <c r="I101" s="3">
        <v>91.0</v>
      </c>
      <c r="J101" s="3">
        <v>2.7</v>
      </c>
      <c r="K101" s="3">
        <v>0.0</v>
      </c>
      <c r="L101" s="3">
        <v>4.4</v>
      </c>
      <c r="M101" s="3">
        <v>675177.68</v>
      </c>
      <c r="N101" s="3">
        <v>105628.68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 t="s">
        <v>47</v>
      </c>
      <c r="B102" s="4">
        <v>45658.0</v>
      </c>
      <c r="C102" s="3" t="s">
        <v>15</v>
      </c>
      <c r="D102" s="3" t="s">
        <v>28</v>
      </c>
      <c r="E102" s="3">
        <v>53084.76</v>
      </c>
      <c r="F102" s="3">
        <v>3642.0</v>
      </c>
      <c r="G102" s="3">
        <v>0.15</v>
      </c>
      <c r="H102" s="3">
        <v>12.0</v>
      </c>
      <c r="I102" s="3">
        <v>91.4</v>
      </c>
      <c r="J102" s="3">
        <v>0.2</v>
      </c>
      <c r="K102" s="3">
        <v>0.0</v>
      </c>
      <c r="L102" s="3">
        <v>4.4</v>
      </c>
      <c r="M102" s="3">
        <v>635181.35</v>
      </c>
      <c r="N102" s="3">
        <v>83341.25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 t="s">
        <v>47</v>
      </c>
      <c r="B103" s="4">
        <v>45689.0</v>
      </c>
      <c r="C103" s="3" t="s">
        <v>15</v>
      </c>
      <c r="D103" s="3" t="s">
        <v>28</v>
      </c>
      <c r="E103" s="3">
        <v>63101.59</v>
      </c>
      <c r="F103" s="3">
        <v>4373.0</v>
      </c>
      <c r="G103" s="3">
        <v>0.173</v>
      </c>
      <c r="H103" s="3">
        <v>14.0</v>
      </c>
      <c r="I103" s="3">
        <v>90.4</v>
      </c>
      <c r="J103" s="3">
        <v>7.87</v>
      </c>
      <c r="K103" s="3">
        <v>0.0</v>
      </c>
      <c r="L103" s="3">
        <v>4.7</v>
      </c>
      <c r="M103" s="3">
        <v>586626.94</v>
      </c>
      <c r="N103" s="3">
        <v>86498.55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 t="s">
        <v>47</v>
      </c>
      <c r="B104" s="4">
        <v>45717.0</v>
      </c>
      <c r="C104" s="3" t="s">
        <v>15</v>
      </c>
      <c r="D104" s="3" t="s">
        <v>28</v>
      </c>
      <c r="E104" s="3">
        <v>90084.4</v>
      </c>
      <c r="F104" s="3">
        <v>6832.0</v>
      </c>
      <c r="G104" s="3">
        <v>0.185</v>
      </c>
      <c r="H104" s="3">
        <v>14.0</v>
      </c>
      <c r="I104" s="3">
        <v>80.5</v>
      </c>
      <c r="J104" s="3">
        <v>0.77</v>
      </c>
      <c r="K104" s="3">
        <v>1.0</v>
      </c>
      <c r="L104" s="3">
        <v>4.4</v>
      </c>
      <c r="M104" s="3">
        <v>740102.64</v>
      </c>
      <c r="N104" s="3">
        <v>114299.07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 t="s">
        <v>47</v>
      </c>
      <c r="B105" s="4">
        <v>45748.0</v>
      </c>
      <c r="C105" s="3" t="s">
        <v>15</v>
      </c>
      <c r="D105" s="3" t="s">
        <v>28</v>
      </c>
      <c r="E105" s="3">
        <v>32266.64</v>
      </c>
      <c r="F105" s="3">
        <v>2414.0</v>
      </c>
      <c r="G105" s="3">
        <v>0.08</v>
      </c>
      <c r="H105" s="3">
        <v>7.0</v>
      </c>
      <c r="I105" s="3">
        <v>92.1</v>
      </c>
      <c r="J105" s="3">
        <v>1.48</v>
      </c>
      <c r="K105" s="3">
        <v>0.0</v>
      </c>
      <c r="L105" s="3">
        <v>5.0</v>
      </c>
      <c r="M105" s="3">
        <v>625514.04</v>
      </c>
      <c r="N105" s="3">
        <v>120685.08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 t="s">
        <v>48</v>
      </c>
      <c r="B106" s="4">
        <v>45658.0</v>
      </c>
      <c r="C106" s="3" t="s">
        <v>27</v>
      </c>
      <c r="D106" s="3" t="s">
        <v>18</v>
      </c>
      <c r="E106" s="3">
        <v>57919.07</v>
      </c>
      <c r="F106" s="3">
        <v>7374.0</v>
      </c>
      <c r="G106" s="3">
        <v>0.103</v>
      </c>
      <c r="H106" s="3">
        <v>21.0</v>
      </c>
      <c r="I106" s="3">
        <v>82.3</v>
      </c>
      <c r="J106" s="3">
        <v>2.87</v>
      </c>
      <c r="K106" s="3">
        <v>0.0</v>
      </c>
      <c r="L106" s="3">
        <v>2.9</v>
      </c>
      <c r="M106" s="3">
        <v>727227.2</v>
      </c>
      <c r="N106" s="3">
        <v>121292.01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 t="s">
        <v>48</v>
      </c>
      <c r="B107" s="4">
        <v>45689.0</v>
      </c>
      <c r="C107" s="3" t="s">
        <v>27</v>
      </c>
      <c r="D107" s="3" t="s">
        <v>18</v>
      </c>
      <c r="E107" s="3">
        <v>74679.35</v>
      </c>
      <c r="F107" s="3">
        <v>8739.0</v>
      </c>
      <c r="G107" s="3">
        <v>0.056</v>
      </c>
      <c r="H107" s="3">
        <v>21.0</v>
      </c>
      <c r="I107" s="3">
        <v>91.8</v>
      </c>
      <c r="J107" s="3">
        <v>2.83</v>
      </c>
      <c r="K107" s="3">
        <v>0.0</v>
      </c>
      <c r="L107" s="3">
        <v>3.0</v>
      </c>
      <c r="M107" s="3">
        <v>783797.89</v>
      </c>
      <c r="N107" s="3">
        <v>157620.7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 t="s">
        <v>48</v>
      </c>
      <c r="B108" s="4">
        <v>45717.0</v>
      </c>
      <c r="C108" s="3" t="s">
        <v>27</v>
      </c>
      <c r="D108" s="3" t="s">
        <v>18</v>
      </c>
      <c r="E108" s="3">
        <v>64294.23</v>
      </c>
      <c r="F108" s="3">
        <v>6992.0</v>
      </c>
      <c r="G108" s="3">
        <v>0.133</v>
      </c>
      <c r="H108" s="3">
        <v>14.0</v>
      </c>
      <c r="I108" s="3">
        <v>94.1</v>
      </c>
      <c r="J108" s="3">
        <v>0.25</v>
      </c>
      <c r="K108" s="3">
        <v>0.0</v>
      </c>
      <c r="L108" s="3">
        <v>3.0</v>
      </c>
      <c r="M108" s="3">
        <v>795153.84</v>
      </c>
      <c r="N108" s="3">
        <v>143194.21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 t="s">
        <v>48</v>
      </c>
      <c r="B109" s="4">
        <v>45748.0</v>
      </c>
      <c r="C109" s="3" t="s">
        <v>27</v>
      </c>
      <c r="D109" s="3" t="s">
        <v>18</v>
      </c>
      <c r="E109" s="3">
        <v>31042.03</v>
      </c>
      <c r="F109" s="3">
        <v>7107.0</v>
      </c>
      <c r="G109" s="3">
        <v>0.051</v>
      </c>
      <c r="H109" s="3">
        <v>15.0</v>
      </c>
      <c r="I109" s="3">
        <v>87.0</v>
      </c>
      <c r="J109" s="3">
        <v>13.33</v>
      </c>
      <c r="K109" s="3">
        <v>0.0</v>
      </c>
      <c r="L109" s="3">
        <v>3.2</v>
      </c>
      <c r="M109" s="3">
        <v>665594.94</v>
      </c>
      <c r="N109" s="3">
        <v>127597.34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 t="s">
        <v>49</v>
      </c>
      <c r="B110" s="4">
        <v>45658.0</v>
      </c>
      <c r="C110" s="3" t="s">
        <v>15</v>
      </c>
      <c r="D110" s="3" t="s">
        <v>28</v>
      </c>
      <c r="E110" s="3">
        <v>75265.02</v>
      </c>
      <c r="F110" s="3">
        <v>6975.0</v>
      </c>
      <c r="G110" s="3">
        <v>0.157</v>
      </c>
      <c r="H110" s="3">
        <v>20.0</v>
      </c>
      <c r="I110" s="3">
        <v>73.8</v>
      </c>
      <c r="J110" s="3">
        <v>6.35</v>
      </c>
      <c r="K110" s="3">
        <v>1.0</v>
      </c>
      <c r="L110" s="3">
        <v>3.8</v>
      </c>
      <c r="M110" s="3">
        <v>709478.39</v>
      </c>
      <c r="N110" s="3">
        <v>71294.27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 t="s">
        <v>49</v>
      </c>
      <c r="B111" s="4">
        <v>45689.0</v>
      </c>
      <c r="C111" s="3" t="s">
        <v>15</v>
      </c>
      <c r="D111" s="3" t="s">
        <v>28</v>
      </c>
      <c r="E111" s="3">
        <v>69411.7</v>
      </c>
      <c r="F111" s="3">
        <v>5493.0</v>
      </c>
      <c r="G111" s="3">
        <v>0.292</v>
      </c>
      <c r="H111" s="3">
        <v>13.0</v>
      </c>
      <c r="I111" s="3">
        <v>86.5</v>
      </c>
      <c r="J111" s="3">
        <v>6.69</v>
      </c>
      <c r="K111" s="3">
        <v>0.0</v>
      </c>
      <c r="L111" s="3">
        <v>3.8</v>
      </c>
      <c r="M111" s="3">
        <v>664162.49</v>
      </c>
      <c r="N111" s="3">
        <v>98291.06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 t="s">
        <v>49</v>
      </c>
      <c r="B112" s="4">
        <v>45717.0</v>
      </c>
      <c r="C112" s="3" t="s">
        <v>15</v>
      </c>
      <c r="D112" s="3" t="s">
        <v>28</v>
      </c>
      <c r="E112" s="3">
        <v>51056.15</v>
      </c>
      <c r="F112" s="3">
        <v>5686.0</v>
      </c>
      <c r="G112" s="3">
        <v>0.089</v>
      </c>
      <c r="H112" s="3">
        <v>13.0</v>
      </c>
      <c r="I112" s="3">
        <v>89.9</v>
      </c>
      <c r="J112" s="3">
        <v>1.28</v>
      </c>
      <c r="K112" s="3">
        <v>0.0</v>
      </c>
      <c r="L112" s="3">
        <v>4.2</v>
      </c>
      <c r="M112" s="3">
        <v>633494.21</v>
      </c>
      <c r="N112" s="3">
        <v>105739.47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 t="s">
        <v>49</v>
      </c>
      <c r="B113" s="4">
        <v>45748.0</v>
      </c>
      <c r="C113" s="3" t="s">
        <v>15</v>
      </c>
      <c r="D113" s="3" t="s">
        <v>28</v>
      </c>
      <c r="E113" s="3">
        <v>52758.01</v>
      </c>
      <c r="F113" s="3">
        <v>4063.0</v>
      </c>
      <c r="G113" s="3">
        <v>0.057</v>
      </c>
      <c r="H113" s="3">
        <v>12.0</v>
      </c>
      <c r="I113" s="3">
        <v>91.7</v>
      </c>
      <c r="J113" s="3">
        <v>0.92</v>
      </c>
      <c r="K113" s="3">
        <v>0.0</v>
      </c>
      <c r="L113" s="3">
        <v>3.5</v>
      </c>
      <c r="M113" s="3">
        <v>713611.16</v>
      </c>
      <c r="N113" s="3">
        <v>129717.18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 t="s">
        <v>50</v>
      </c>
      <c r="B114" s="4">
        <v>45658.0</v>
      </c>
      <c r="C114" s="3" t="s">
        <v>27</v>
      </c>
      <c r="D114" s="3" t="s">
        <v>28</v>
      </c>
      <c r="E114" s="3">
        <v>61426.04</v>
      </c>
      <c r="F114" s="3">
        <v>8966.0</v>
      </c>
      <c r="G114" s="3">
        <v>0.173</v>
      </c>
      <c r="H114" s="3">
        <v>22.0</v>
      </c>
      <c r="I114" s="3">
        <v>76.4</v>
      </c>
      <c r="J114" s="3">
        <v>1.05</v>
      </c>
      <c r="K114" s="3">
        <v>0.0</v>
      </c>
      <c r="L114" s="3">
        <v>3.1</v>
      </c>
      <c r="M114" s="3">
        <v>778397.97</v>
      </c>
      <c r="N114" s="3">
        <v>120044.41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 t="s">
        <v>50</v>
      </c>
      <c r="B115" s="4">
        <v>45689.0</v>
      </c>
      <c r="C115" s="3" t="s">
        <v>27</v>
      </c>
      <c r="D115" s="3" t="s">
        <v>28</v>
      </c>
      <c r="E115" s="3">
        <v>80176.34</v>
      </c>
      <c r="F115" s="3">
        <v>9489.0</v>
      </c>
      <c r="G115" s="3">
        <v>0.142</v>
      </c>
      <c r="H115" s="3">
        <v>22.0</v>
      </c>
      <c r="I115" s="3">
        <v>94.3</v>
      </c>
      <c r="J115" s="3">
        <v>2.67</v>
      </c>
      <c r="K115" s="3">
        <v>0.0</v>
      </c>
      <c r="L115" s="3">
        <v>3.5</v>
      </c>
      <c r="M115" s="3">
        <v>873380.02</v>
      </c>
      <c r="N115" s="3">
        <v>149734.76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 t="s">
        <v>50</v>
      </c>
      <c r="B116" s="4">
        <v>45717.0</v>
      </c>
      <c r="C116" s="3" t="s">
        <v>27</v>
      </c>
      <c r="D116" s="3" t="s">
        <v>28</v>
      </c>
      <c r="E116" s="3">
        <v>33605.18</v>
      </c>
      <c r="F116" s="3">
        <v>9225.0</v>
      </c>
      <c r="G116" s="3">
        <v>0.159</v>
      </c>
      <c r="H116" s="3">
        <v>23.0</v>
      </c>
      <c r="I116" s="3">
        <v>88.4</v>
      </c>
      <c r="J116" s="3">
        <v>5.91</v>
      </c>
      <c r="K116" s="3">
        <v>0.0</v>
      </c>
      <c r="L116" s="3">
        <v>2.8</v>
      </c>
      <c r="M116" s="3">
        <v>697287.9</v>
      </c>
      <c r="N116" s="3">
        <v>128208.33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 t="s">
        <v>50</v>
      </c>
      <c r="B117" s="4">
        <v>45748.0</v>
      </c>
      <c r="C117" s="3" t="s">
        <v>27</v>
      </c>
      <c r="D117" s="3" t="s">
        <v>28</v>
      </c>
      <c r="E117" s="3">
        <v>25990.54</v>
      </c>
      <c r="F117" s="3">
        <v>9249.0</v>
      </c>
      <c r="G117" s="3">
        <v>0.139</v>
      </c>
      <c r="H117" s="3">
        <v>23.0</v>
      </c>
      <c r="I117" s="3">
        <v>92.5</v>
      </c>
      <c r="J117" s="3">
        <v>6.37</v>
      </c>
      <c r="K117" s="3">
        <v>0.0</v>
      </c>
      <c r="L117" s="3">
        <v>3.3</v>
      </c>
      <c r="M117" s="3">
        <v>718074.79</v>
      </c>
      <c r="N117" s="3">
        <v>115819.87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 t="s">
        <v>51</v>
      </c>
      <c r="B118" s="4">
        <v>45658.0</v>
      </c>
      <c r="C118" s="3" t="s">
        <v>27</v>
      </c>
      <c r="D118" s="3" t="s">
        <v>16</v>
      </c>
      <c r="E118" s="3">
        <v>43685.14</v>
      </c>
      <c r="F118" s="3">
        <v>7821.0</v>
      </c>
      <c r="G118" s="3">
        <v>0.19</v>
      </c>
      <c r="H118" s="3">
        <v>17.0</v>
      </c>
      <c r="I118" s="3">
        <v>91.0</v>
      </c>
      <c r="J118" s="3">
        <v>2.49</v>
      </c>
      <c r="K118" s="3">
        <v>1.0</v>
      </c>
      <c r="L118" s="3">
        <v>4.7</v>
      </c>
      <c r="M118" s="3">
        <v>714942.43</v>
      </c>
      <c r="N118" s="3">
        <v>94697.71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 t="s">
        <v>51</v>
      </c>
      <c r="B119" s="4">
        <v>45689.0</v>
      </c>
      <c r="C119" s="3" t="s">
        <v>27</v>
      </c>
      <c r="D119" s="3" t="s">
        <v>16</v>
      </c>
      <c r="E119" s="3">
        <v>57360.01</v>
      </c>
      <c r="F119" s="3">
        <v>8434.0</v>
      </c>
      <c r="G119" s="3">
        <v>0.151</v>
      </c>
      <c r="H119" s="3">
        <v>19.0</v>
      </c>
      <c r="I119" s="3">
        <v>84.1</v>
      </c>
      <c r="J119" s="3">
        <v>1.56</v>
      </c>
      <c r="K119" s="3">
        <v>0.0</v>
      </c>
      <c r="L119" s="3">
        <v>4.7</v>
      </c>
      <c r="M119" s="3">
        <v>820519.04</v>
      </c>
      <c r="N119" s="3">
        <v>99035.88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 t="s">
        <v>51</v>
      </c>
      <c r="B120" s="4">
        <v>45717.0</v>
      </c>
      <c r="C120" s="3" t="s">
        <v>27</v>
      </c>
      <c r="D120" s="3" t="s">
        <v>16</v>
      </c>
      <c r="E120" s="3">
        <v>42415.47</v>
      </c>
      <c r="F120" s="3">
        <v>8512.0</v>
      </c>
      <c r="G120" s="3">
        <v>0.133</v>
      </c>
      <c r="H120" s="3">
        <v>18.0</v>
      </c>
      <c r="I120" s="3">
        <v>96.8</v>
      </c>
      <c r="J120" s="3">
        <v>14.95</v>
      </c>
      <c r="K120" s="3">
        <v>0.0</v>
      </c>
      <c r="L120" s="3">
        <v>4.6</v>
      </c>
      <c r="M120" s="3">
        <v>684217.32</v>
      </c>
      <c r="N120" s="3">
        <v>136217.19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 t="s">
        <v>51</v>
      </c>
      <c r="B121" s="4">
        <v>45748.0</v>
      </c>
      <c r="C121" s="3" t="s">
        <v>27</v>
      </c>
      <c r="D121" s="3" t="s">
        <v>16</v>
      </c>
      <c r="E121" s="3">
        <v>54968.98</v>
      </c>
      <c r="F121" s="3">
        <v>7816.0</v>
      </c>
      <c r="G121" s="3">
        <v>0.232</v>
      </c>
      <c r="H121" s="3">
        <v>19.0</v>
      </c>
      <c r="I121" s="3">
        <v>95.7</v>
      </c>
      <c r="J121" s="3">
        <v>7.85</v>
      </c>
      <c r="K121" s="3">
        <v>0.0</v>
      </c>
      <c r="L121" s="3">
        <v>4.7</v>
      </c>
      <c r="M121" s="3">
        <v>735480.19</v>
      </c>
      <c r="N121" s="3">
        <v>88342.11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 t="s">
        <v>52</v>
      </c>
      <c r="B122" s="4">
        <v>45658.0</v>
      </c>
      <c r="C122" s="3" t="s">
        <v>20</v>
      </c>
      <c r="D122" s="3" t="s">
        <v>18</v>
      </c>
      <c r="E122" s="3">
        <v>43896.13</v>
      </c>
      <c r="F122" s="3">
        <v>3853.0</v>
      </c>
      <c r="G122" s="3">
        <v>0.088</v>
      </c>
      <c r="H122" s="3">
        <v>13.0</v>
      </c>
      <c r="I122" s="3">
        <v>83.0</v>
      </c>
      <c r="J122" s="3">
        <v>6.8</v>
      </c>
      <c r="K122" s="3">
        <v>0.0</v>
      </c>
      <c r="L122" s="3">
        <v>4.4</v>
      </c>
      <c r="M122" s="3">
        <v>509484.81</v>
      </c>
      <c r="N122" s="3">
        <v>85742.36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 t="s">
        <v>52</v>
      </c>
      <c r="B123" s="4">
        <v>45689.0</v>
      </c>
      <c r="C123" s="3" t="s">
        <v>20</v>
      </c>
      <c r="D123" s="3" t="s">
        <v>18</v>
      </c>
      <c r="E123" s="3">
        <v>83044.17</v>
      </c>
      <c r="F123" s="3">
        <v>3694.0</v>
      </c>
      <c r="G123" s="3">
        <v>0.0</v>
      </c>
      <c r="H123" s="3">
        <v>14.0</v>
      </c>
      <c r="I123" s="3">
        <v>89.4</v>
      </c>
      <c r="J123" s="3">
        <v>2.2</v>
      </c>
      <c r="K123" s="3">
        <v>0.0</v>
      </c>
      <c r="L123" s="3">
        <v>3.7</v>
      </c>
      <c r="M123" s="3">
        <v>654317.09</v>
      </c>
      <c r="N123" s="3">
        <v>121446.89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 t="s">
        <v>52</v>
      </c>
      <c r="B124" s="4">
        <v>45717.0</v>
      </c>
      <c r="C124" s="3" t="s">
        <v>20</v>
      </c>
      <c r="D124" s="3" t="s">
        <v>18</v>
      </c>
      <c r="E124" s="3">
        <v>48396.13</v>
      </c>
      <c r="F124" s="3">
        <v>4423.0</v>
      </c>
      <c r="G124" s="3">
        <v>0.069</v>
      </c>
      <c r="H124" s="3">
        <v>15.0</v>
      </c>
      <c r="I124" s="3">
        <v>85.7</v>
      </c>
      <c r="J124" s="3">
        <v>1.88</v>
      </c>
      <c r="K124" s="3">
        <v>0.0</v>
      </c>
      <c r="L124" s="3">
        <v>3.9</v>
      </c>
      <c r="M124" s="3">
        <v>557487.26</v>
      </c>
      <c r="N124" s="3">
        <v>76432.19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 t="s">
        <v>52</v>
      </c>
      <c r="B125" s="4">
        <v>45748.0</v>
      </c>
      <c r="C125" s="3" t="s">
        <v>20</v>
      </c>
      <c r="D125" s="3" t="s">
        <v>18</v>
      </c>
      <c r="E125" s="3">
        <v>19063.48</v>
      </c>
      <c r="F125" s="3">
        <v>1906.0</v>
      </c>
      <c r="G125" s="3">
        <v>0.216</v>
      </c>
      <c r="H125" s="3">
        <v>10.0</v>
      </c>
      <c r="I125" s="3">
        <v>97.8</v>
      </c>
      <c r="J125" s="3">
        <v>15.79</v>
      </c>
      <c r="K125" s="3">
        <v>0.0</v>
      </c>
      <c r="L125" s="3">
        <v>4.4</v>
      </c>
      <c r="M125" s="3">
        <v>441275.42</v>
      </c>
      <c r="N125" s="3">
        <v>58234.87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 t="s">
        <v>53</v>
      </c>
      <c r="B126" s="4">
        <v>45658.0</v>
      </c>
      <c r="C126" s="3" t="s">
        <v>24</v>
      </c>
      <c r="D126" s="3" t="s">
        <v>18</v>
      </c>
      <c r="E126" s="3">
        <v>61541.21</v>
      </c>
      <c r="F126" s="3">
        <v>10396.0</v>
      </c>
      <c r="G126" s="3">
        <v>0.123</v>
      </c>
      <c r="H126" s="3">
        <v>25.0</v>
      </c>
      <c r="I126" s="3">
        <v>88.1</v>
      </c>
      <c r="J126" s="3">
        <v>2.34</v>
      </c>
      <c r="K126" s="3">
        <v>1.0</v>
      </c>
      <c r="L126" s="3">
        <v>4.8</v>
      </c>
      <c r="M126" s="3">
        <v>914544.17</v>
      </c>
      <c r="N126" s="3">
        <v>79831.73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 t="s">
        <v>53</v>
      </c>
      <c r="B127" s="4">
        <v>45689.0</v>
      </c>
      <c r="C127" s="3" t="s">
        <v>24</v>
      </c>
      <c r="D127" s="3" t="s">
        <v>18</v>
      </c>
      <c r="E127" s="3">
        <v>44747.0</v>
      </c>
      <c r="F127" s="3">
        <v>11076.0</v>
      </c>
      <c r="G127" s="3">
        <v>0.176</v>
      </c>
      <c r="H127" s="3">
        <v>27.0</v>
      </c>
      <c r="I127" s="3">
        <v>98.3</v>
      </c>
      <c r="J127" s="3">
        <v>0.54</v>
      </c>
      <c r="K127" s="3">
        <v>0.0</v>
      </c>
      <c r="L127" s="3">
        <v>4.4</v>
      </c>
      <c r="M127" s="3">
        <v>842439.67</v>
      </c>
      <c r="N127" s="3">
        <v>169983.63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 t="s">
        <v>53</v>
      </c>
      <c r="B128" s="4">
        <v>45717.0</v>
      </c>
      <c r="C128" s="3" t="s">
        <v>24</v>
      </c>
      <c r="D128" s="3" t="s">
        <v>18</v>
      </c>
      <c r="E128" s="3">
        <v>56517.9</v>
      </c>
      <c r="F128" s="3">
        <v>9574.0</v>
      </c>
      <c r="G128" s="3">
        <v>0.204</v>
      </c>
      <c r="H128" s="3">
        <v>20.0</v>
      </c>
      <c r="I128" s="3">
        <v>88.2</v>
      </c>
      <c r="J128" s="3">
        <v>5.37</v>
      </c>
      <c r="K128" s="3">
        <v>1.0</v>
      </c>
      <c r="L128" s="3">
        <v>4.9</v>
      </c>
      <c r="M128" s="3">
        <v>842157.92</v>
      </c>
      <c r="N128" s="3">
        <v>107348.22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 t="s">
        <v>53</v>
      </c>
      <c r="B129" s="4">
        <v>45748.0</v>
      </c>
      <c r="C129" s="3" t="s">
        <v>24</v>
      </c>
      <c r="D129" s="3" t="s">
        <v>18</v>
      </c>
      <c r="E129" s="3">
        <v>37828.5</v>
      </c>
      <c r="F129" s="3">
        <v>8221.0</v>
      </c>
      <c r="G129" s="3">
        <v>0.096</v>
      </c>
      <c r="H129" s="3">
        <v>19.0</v>
      </c>
      <c r="I129" s="3">
        <v>81.5</v>
      </c>
      <c r="J129" s="3">
        <v>3.19</v>
      </c>
      <c r="K129" s="3">
        <v>0.0</v>
      </c>
      <c r="L129" s="3">
        <v>4.8</v>
      </c>
      <c r="M129" s="3">
        <v>697155.3</v>
      </c>
      <c r="N129" s="3">
        <v>136408.54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 t="s">
        <v>54</v>
      </c>
      <c r="B130" s="4">
        <v>45658.0</v>
      </c>
      <c r="C130" s="3" t="s">
        <v>15</v>
      </c>
      <c r="D130" s="3" t="s">
        <v>18</v>
      </c>
      <c r="E130" s="3">
        <v>66250.53</v>
      </c>
      <c r="F130" s="3">
        <v>10618.0</v>
      </c>
      <c r="G130" s="3">
        <v>0.142</v>
      </c>
      <c r="H130" s="3">
        <v>27.0</v>
      </c>
      <c r="I130" s="3">
        <v>88.3</v>
      </c>
      <c r="J130" s="3">
        <v>1.1</v>
      </c>
      <c r="K130" s="3">
        <v>1.0</v>
      </c>
      <c r="L130" s="3">
        <v>4.4</v>
      </c>
      <c r="M130" s="3">
        <v>849018.3</v>
      </c>
      <c r="N130" s="3">
        <v>149035.13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 t="s">
        <v>54</v>
      </c>
      <c r="B131" s="4">
        <v>45689.0</v>
      </c>
      <c r="C131" s="3" t="s">
        <v>15</v>
      </c>
      <c r="D131" s="3" t="s">
        <v>18</v>
      </c>
      <c r="E131" s="3">
        <v>68410.93</v>
      </c>
      <c r="F131" s="3">
        <v>10596.0</v>
      </c>
      <c r="G131" s="3">
        <v>0.207</v>
      </c>
      <c r="H131" s="3">
        <v>25.0</v>
      </c>
      <c r="I131" s="3">
        <v>81.2</v>
      </c>
      <c r="J131" s="3">
        <v>0.21</v>
      </c>
      <c r="K131" s="3">
        <v>0.0</v>
      </c>
      <c r="L131" s="3">
        <v>4.0</v>
      </c>
      <c r="M131" s="3">
        <v>801830.35</v>
      </c>
      <c r="N131" s="3">
        <v>114875.32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 t="s">
        <v>54</v>
      </c>
      <c r="B132" s="4">
        <v>45717.0</v>
      </c>
      <c r="C132" s="3" t="s">
        <v>15</v>
      </c>
      <c r="D132" s="3" t="s">
        <v>18</v>
      </c>
      <c r="E132" s="3">
        <v>50735.63</v>
      </c>
      <c r="F132" s="3">
        <v>9619.0</v>
      </c>
      <c r="G132" s="3">
        <v>0.144</v>
      </c>
      <c r="H132" s="3">
        <v>19.0</v>
      </c>
      <c r="I132" s="3">
        <v>93.8</v>
      </c>
      <c r="J132" s="3">
        <v>5.12</v>
      </c>
      <c r="K132" s="3">
        <v>1.0</v>
      </c>
      <c r="L132" s="3">
        <v>4.5</v>
      </c>
      <c r="M132" s="3">
        <v>725235.28</v>
      </c>
      <c r="N132" s="3">
        <v>121632.24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 t="s">
        <v>54</v>
      </c>
      <c r="B133" s="4">
        <v>45748.0</v>
      </c>
      <c r="C133" s="3" t="s">
        <v>15</v>
      </c>
      <c r="D133" s="3" t="s">
        <v>18</v>
      </c>
      <c r="E133" s="3">
        <v>66455.8</v>
      </c>
      <c r="F133" s="3">
        <v>10836.0</v>
      </c>
      <c r="G133" s="3">
        <v>0.089</v>
      </c>
      <c r="H133" s="3">
        <v>25.0</v>
      </c>
      <c r="I133" s="3">
        <v>85.0</v>
      </c>
      <c r="J133" s="3">
        <v>9.77</v>
      </c>
      <c r="K133" s="3">
        <v>0.0</v>
      </c>
      <c r="L133" s="3">
        <v>4.5</v>
      </c>
      <c r="M133" s="3">
        <v>811452.72</v>
      </c>
      <c r="N133" s="3">
        <v>131325.67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 t="s">
        <v>55</v>
      </c>
      <c r="B134" s="4">
        <v>45658.0</v>
      </c>
      <c r="C134" s="3" t="s">
        <v>20</v>
      </c>
      <c r="D134" s="3" t="s">
        <v>18</v>
      </c>
      <c r="E134" s="3">
        <v>70276.28</v>
      </c>
      <c r="F134" s="3">
        <v>3043.0</v>
      </c>
      <c r="G134" s="3">
        <v>0.079</v>
      </c>
      <c r="H134" s="3">
        <v>9.0</v>
      </c>
      <c r="I134" s="3">
        <v>87.9</v>
      </c>
      <c r="J134" s="3">
        <v>3.77</v>
      </c>
      <c r="K134" s="3">
        <v>0.0</v>
      </c>
      <c r="L134" s="3">
        <v>4.4</v>
      </c>
      <c r="M134" s="3">
        <v>527300.13</v>
      </c>
      <c r="N134" s="3">
        <v>84197.87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 t="s">
        <v>55</v>
      </c>
      <c r="B135" s="4">
        <v>45689.0</v>
      </c>
      <c r="C135" s="3" t="s">
        <v>20</v>
      </c>
      <c r="D135" s="3" t="s">
        <v>18</v>
      </c>
      <c r="E135" s="3">
        <v>22071.64</v>
      </c>
      <c r="F135" s="3">
        <v>1814.0</v>
      </c>
      <c r="G135" s="3">
        <v>0.196</v>
      </c>
      <c r="H135" s="3">
        <v>8.0</v>
      </c>
      <c r="I135" s="3">
        <v>81.1</v>
      </c>
      <c r="J135" s="3">
        <v>0.78</v>
      </c>
      <c r="K135" s="3">
        <v>0.0</v>
      </c>
      <c r="L135" s="5"/>
      <c r="M135" s="3">
        <v>400831.65</v>
      </c>
      <c r="N135" s="3">
        <v>70979.31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 t="s">
        <v>55</v>
      </c>
      <c r="B136" s="4">
        <v>45717.0</v>
      </c>
      <c r="C136" s="3" t="s">
        <v>20</v>
      </c>
      <c r="D136" s="3" t="s">
        <v>18</v>
      </c>
      <c r="E136" s="3">
        <v>52285.45</v>
      </c>
      <c r="F136" s="3">
        <v>3618.0</v>
      </c>
      <c r="G136" s="3">
        <v>0.086</v>
      </c>
      <c r="H136" s="3">
        <v>11.0</v>
      </c>
      <c r="I136" s="3">
        <v>95.6</v>
      </c>
      <c r="J136" s="3">
        <v>5.17</v>
      </c>
      <c r="K136" s="3">
        <v>1.0</v>
      </c>
      <c r="L136" s="3">
        <v>4.4</v>
      </c>
      <c r="M136" s="3">
        <v>593247.25</v>
      </c>
      <c r="N136" s="3">
        <v>81240.29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 t="s">
        <v>55</v>
      </c>
      <c r="B137" s="4">
        <v>45748.0</v>
      </c>
      <c r="C137" s="3" t="s">
        <v>20</v>
      </c>
      <c r="D137" s="3" t="s">
        <v>18</v>
      </c>
      <c r="E137" s="3">
        <v>70366.76</v>
      </c>
      <c r="F137" s="3">
        <v>1963.0</v>
      </c>
      <c r="G137" s="3">
        <v>0.182</v>
      </c>
      <c r="H137" s="3">
        <v>8.0</v>
      </c>
      <c r="I137" s="3">
        <v>89.8</v>
      </c>
      <c r="J137" s="3">
        <v>3.2</v>
      </c>
      <c r="K137" s="3">
        <v>0.0</v>
      </c>
      <c r="L137" s="3">
        <v>4.6</v>
      </c>
      <c r="M137" s="3">
        <v>529075.95</v>
      </c>
      <c r="N137" s="3">
        <v>95978.83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 t="s">
        <v>56</v>
      </c>
      <c r="B138" s="4">
        <v>45658.0</v>
      </c>
      <c r="C138" s="3" t="s">
        <v>24</v>
      </c>
      <c r="D138" s="3" t="s">
        <v>16</v>
      </c>
      <c r="E138" s="3">
        <v>71320.66</v>
      </c>
      <c r="F138" s="3">
        <v>7888.0</v>
      </c>
      <c r="G138" s="3">
        <v>0.048</v>
      </c>
      <c r="H138" s="3">
        <v>20.0</v>
      </c>
      <c r="I138" s="3">
        <v>78.1</v>
      </c>
      <c r="J138" s="3">
        <v>3.4</v>
      </c>
      <c r="K138" s="3">
        <v>0.0</v>
      </c>
      <c r="L138" s="5"/>
      <c r="M138" s="3">
        <v>633638.03</v>
      </c>
      <c r="N138" s="3">
        <v>99402.01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 t="s">
        <v>56</v>
      </c>
      <c r="B139" s="4">
        <v>45689.0</v>
      </c>
      <c r="C139" s="3" t="s">
        <v>24</v>
      </c>
      <c r="D139" s="3" t="s">
        <v>16</v>
      </c>
      <c r="E139" s="3">
        <v>75109.67</v>
      </c>
      <c r="F139" s="3">
        <v>6244.0</v>
      </c>
      <c r="G139" s="3">
        <v>0.079</v>
      </c>
      <c r="H139" s="3">
        <v>15.0</v>
      </c>
      <c r="I139" s="3">
        <v>96.3</v>
      </c>
      <c r="J139" s="3">
        <v>7.38</v>
      </c>
      <c r="K139" s="3">
        <v>0.0</v>
      </c>
      <c r="L139" s="3">
        <v>3.7</v>
      </c>
      <c r="M139" s="3">
        <v>743348.84</v>
      </c>
      <c r="N139" s="3">
        <v>104186.09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 t="s">
        <v>56</v>
      </c>
      <c r="B140" s="4">
        <v>45717.0</v>
      </c>
      <c r="C140" s="3" t="s">
        <v>24</v>
      </c>
      <c r="D140" s="3" t="s">
        <v>16</v>
      </c>
      <c r="E140" s="3">
        <v>69779.0</v>
      </c>
      <c r="F140" s="3">
        <v>6544.0</v>
      </c>
      <c r="G140" s="3">
        <v>0.152</v>
      </c>
      <c r="H140" s="3">
        <v>18.0</v>
      </c>
      <c r="I140" s="3">
        <v>90.2</v>
      </c>
      <c r="J140" s="3">
        <v>0.85</v>
      </c>
      <c r="K140" s="3">
        <v>1.0</v>
      </c>
      <c r="L140" s="3">
        <v>3.3</v>
      </c>
      <c r="M140" s="3">
        <v>758827.64</v>
      </c>
      <c r="N140" s="3">
        <v>161439.48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 t="s">
        <v>56</v>
      </c>
      <c r="B141" s="4">
        <v>45748.0</v>
      </c>
      <c r="C141" s="3" t="s">
        <v>24</v>
      </c>
      <c r="D141" s="3" t="s">
        <v>16</v>
      </c>
      <c r="E141" s="3">
        <v>44211.95</v>
      </c>
      <c r="F141" s="3">
        <v>5465.0</v>
      </c>
      <c r="G141" s="3">
        <v>0.187</v>
      </c>
      <c r="H141" s="3">
        <v>12.0</v>
      </c>
      <c r="I141" s="3">
        <v>90.0</v>
      </c>
      <c r="J141" s="3">
        <v>2.89</v>
      </c>
      <c r="K141" s="3">
        <v>0.0</v>
      </c>
      <c r="L141" s="3">
        <v>3.6</v>
      </c>
      <c r="M141" s="3">
        <v>646559.71</v>
      </c>
      <c r="N141" s="3">
        <v>97981.75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 t="s">
        <v>57</v>
      </c>
      <c r="B142" s="4">
        <v>45658.0</v>
      </c>
      <c r="C142" s="3" t="s">
        <v>27</v>
      </c>
      <c r="D142" s="3" t="s">
        <v>18</v>
      </c>
      <c r="E142" s="3">
        <v>51430.31</v>
      </c>
      <c r="F142" s="3">
        <v>6427.0</v>
      </c>
      <c r="G142" s="3">
        <v>0.234</v>
      </c>
      <c r="H142" s="3">
        <v>14.0</v>
      </c>
      <c r="I142" s="3">
        <v>88.8</v>
      </c>
      <c r="J142" s="3">
        <v>0.77</v>
      </c>
      <c r="K142" s="3">
        <v>0.0</v>
      </c>
      <c r="L142" s="3">
        <v>4.1</v>
      </c>
      <c r="M142" s="3">
        <v>715890.53</v>
      </c>
      <c r="N142" s="3">
        <v>109032.15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 t="s">
        <v>57</v>
      </c>
      <c r="B143" s="4">
        <v>45689.0</v>
      </c>
      <c r="C143" s="3" t="s">
        <v>27</v>
      </c>
      <c r="D143" s="3" t="s">
        <v>18</v>
      </c>
      <c r="E143" s="3">
        <v>45706.49</v>
      </c>
      <c r="F143" s="3">
        <v>6704.0</v>
      </c>
      <c r="G143" s="3">
        <v>0.038</v>
      </c>
      <c r="H143" s="3">
        <v>15.0</v>
      </c>
      <c r="I143" s="3">
        <v>94.2</v>
      </c>
      <c r="J143" s="3">
        <v>2.92</v>
      </c>
      <c r="K143" s="3">
        <v>0.0</v>
      </c>
      <c r="L143" s="3">
        <v>4.2</v>
      </c>
      <c r="M143" s="3">
        <v>715097.57</v>
      </c>
      <c r="N143" s="3">
        <v>151875.86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 t="s">
        <v>57</v>
      </c>
      <c r="B144" s="4">
        <v>45717.0</v>
      </c>
      <c r="C144" s="3" t="s">
        <v>27</v>
      </c>
      <c r="D144" s="3" t="s">
        <v>18</v>
      </c>
      <c r="E144" s="3">
        <v>44034.6</v>
      </c>
      <c r="F144" s="3">
        <v>5645.0</v>
      </c>
      <c r="G144" s="3">
        <v>0.069</v>
      </c>
      <c r="H144" s="3">
        <v>18.0</v>
      </c>
      <c r="I144" s="3">
        <v>88.5</v>
      </c>
      <c r="J144" s="3">
        <v>3.07</v>
      </c>
      <c r="K144" s="3">
        <v>0.0</v>
      </c>
      <c r="L144" s="3">
        <v>3.8</v>
      </c>
      <c r="M144" s="3">
        <v>682639.28</v>
      </c>
      <c r="N144" s="3">
        <v>77557.53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 t="s">
        <v>57</v>
      </c>
      <c r="B145" s="4">
        <v>45748.0</v>
      </c>
      <c r="C145" s="3" t="s">
        <v>27</v>
      </c>
      <c r="D145" s="3" t="s">
        <v>18</v>
      </c>
      <c r="E145" s="3">
        <v>50198.12</v>
      </c>
      <c r="F145" s="3">
        <v>6089.0</v>
      </c>
      <c r="G145" s="3">
        <v>0.182</v>
      </c>
      <c r="H145" s="3">
        <v>19.0</v>
      </c>
      <c r="I145" s="3">
        <v>94.0</v>
      </c>
      <c r="J145" s="3">
        <v>9.7</v>
      </c>
      <c r="K145" s="3">
        <v>0.0</v>
      </c>
      <c r="L145" s="3">
        <v>3.9</v>
      </c>
      <c r="M145" s="3">
        <v>695098.51</v>
      </c>
      <c r="N145" s="3">
        <v>108192.75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 t="s">
        <v>58</v>
      </c>
      <c r="B146" s="4">
        <v>45658.0</v>
      </c>
      <c r="C146" s="3" t="s">
        <v>20</v>
      </c>
      <c r="D146" s="3" t="s">
        <v>16</v>
      </c>
      <c r="E146" s="3">
        <v>70488.2</v>
      </c>
      <c r="F146" s="3">
        <v>4312.0</v>
      </c>
      <c r="G146" s="3">
        <v>0.169</v>
      </c>
      <c r="H146" s="3">
        <v>12.0</v>
      </c>
      <c r="I146" s="3">
        <v>90.2</v>
      </c>
      <c r="J146" s="3">
        <v>3.71</v>
      </c>
      <c r="K146" s="3">
        <v>0.0</v>
      </c>
      <c r="L146" s="3">
        <v>3.2</v>
      </c>
      <c r="M146" s="3">
        <v>577732.57</v>
      </c>
      <c r="N146" s="3">
        <v>93804.27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 t="s">
        <v>58</v>
      </c>
      <c r="B147" s="4">
        <v>45689.0</v>
      </c>
      <c r="C147" s="3" t="s">
        <v>20</v>
      </c>
      <c r="D147" s="3" t="s">
        <v>16</v>
      </c>
      <c r="E147" s="3">
        <v>50909.27</v>
      </c>
      <c r="F147" s="3">
        <v>3152.0</v>
      </c>
      <c r="G147" s="3">
        <v>0.06</v>
      </c>
      <c r="H147" s="3">
        <v>13.0</v>
      </c>
      <c r="I147" s="3">
        <v>93.7</v>
      </c>
      <c r="J147" s="3">
        <v>10.79</v>
      </c>
      <c r="K147" s="3">
        <v>0.0</v>
      </c>
      <c r="L147" s="3">
        <v>3.5</v>
      </c>
      <c r="M147" s="3">
        <v>537058.33</v>
      </c>
      <c r="N147" s="3">
        <v>93555.71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 t="s">
        <v>58</v>
      </c>
      <c r="B148" s="4">
        <v>45717.0</v>
      </c>
      <c r="C148" s="3" t="s">
        <v>20</v>
      </c>
      <c r="D148" s="3" t="s">
        <v>16</v>
      </c>
      <c r="E148" s="3">
        <v>53351.7</v>
      </c>
      <c r="F148" s="3">
        <v>4259.0</v>
      </c>
      <c r="G148" s="3">
        <v>0.156</v>
      </c>
      <c r="H148" s="3">
        <v>15.0</v>
      </c>
      <c r="I148" s="3">
        <v>93.7</v>
      </c>
      <c r="J148" s="3">
        <v>6.03</v>
      </c>
      <c r="K148" s="3">
        <v>0.0</v>
      </c>
      <c r="L148" s="3">
        <v>3.4</v>
      </c>
      <c r="M148" s="3">
        <v>601568.87</v>
      </c>
      <c r="N148" s="3">
        <v>91634.82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 t="s">
        <v>58</v>
      </c>
      <c r="B149" s="4">
        <v>45748.0</v>
      </c>
      <c r="C149" s="3" t="s">
        <v>20</v>
      </c>
      <c r="D149" s="3" t="s">
        <v>16</v>
      </c>
      <c r="E149" s="3">
        <v>60322.4</v>
      </c>
      <c r="F149" s="3">
        <v>3350.0</v>
      </c>
      <c r="G149" s="3">
        <v>0.108</v>
      </c>
      <c r="H149" s="3">
        <v>12.0</v>
      </c>
      <c r="I149" s="3">
        <v>89.4</v>
      </c>
      <c r="J149" s="3">
        <v>4.92</v>
      </c>
      <c r="K149" s="3">
        <v>0.0</v>
      </c>
      <c r="L149" s="3">
        <v>3.4</v>
      </c>
      <c r="M149" s="3">
        <v>570964.84</v>
      </c>
      <c r="N149" s="3">
        <v>81331.07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 t="s">
        <v>59</v>
      </c>
      <c r="B150" s="4">
        <v>45658.0</v>
      </c>
      <c r="C150" s="3" t="s">
        <v>24</v>
      </c>
      <c r="D150" s="3" t="s">
        <v>28</v>
      </c>
      <c r="E150" s="3">
        <v>51575.68</v>
      </c>
      <c r="F150" s="3">
        <v>5329.0</v>
      </c>
      <c r="G150" s="3">
        <v>0.047</v>
      </c>
      <c r="H150" s="3">
        <v>17.0</v>
      </c>
      <c r="I150" s="3">
        <v>88.1</v>
      </c>
      <c r="J150" s="3">
        <v>19.78</v>
      </c>
      <c r="K150" s="3">
        <v>0.0</v>
      </c>
      <c r="L150" s="3">
        <v>3.8</v>
      </c>
      <c r="M150" s="3">
        <v>614024.91</v>
      </c>
      <c r="N150" s="3">
        <v>84828.93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 t="s">
        <v>59</v>
      </c>
      <c r="B151" s="4">
        <v>45689.0</v>
      </c>
      <c r="C151" s="3" t="s">
        <v>24</v>
      </c>
      <c r="D151" s="3" t="s">
        <v>28</v>
      </c>
      <c r="E151" s="3">
        <v>43319.94</v>
      </c>
      <c r="F151" s="3">
        <v>6551.0</v>
      </c>
      <c r="G151" s="3">
        <v>0.044</v>
      </c>
      <c r="H151" s="3">
        <v>13.0</v>
      </c>
      <c r="I151" s="3">
        <v>99.0</v>
      </c>
      <c r="J151" s="3">
        <v>5.45</v>
      </c>
      <c r="K151" s="3">
        <v>0.0</v>
      </c>
      <c r="L151" s="3">
        <v>4.1</v>
      </c>
      <c r="M151" s="3">
        <v>712868.35</v>
      </c>
      <c r="N151" s="3">
        <v>133650.51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 t="s">
        <v>59</v>
      </c>
      <c r="B152" s="4">
        <v>45717.0</v>
      </c>
      <c r="C152" s="3" t="s">
        <v>24</v>
      </c>
      <c r="D152" s="3" t="s">
        <v>28</v>
      </c>
      <c r="E152" s="3">
        <v>47093.55</v>
      </c>
      <c r="F152" s="3">
        <v>5550.0</v>
      </c>
      <c r="G152" s="3">
        <v>0.1</v>
      </c>
      <c r="H152" s="3">
        <v>12.0</v>
      </c>
      <c r="I152" s="3">
        <v>95.0</v>
      </c>
      <c r="J152" s="3">
        <v>2.33</v>
      </c>
      <c r="K152" s="3">
        <v>1.0</v>
      </c>
      <c r="L152" s="3">
        <v>3.7</v>
      </c>
      <c r="M152" s="3">
        <v>696744.15</v>
      </c>
      <c r="N152" s="3">
        <v>152230.09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 t="s">
        <v>59</v>
      </c>
      <c r="B153" s="4">
        <v>45748.0</v>
      </c>
      <c r="C153" s="3" t="s">
        <v>24</v>
      </c>
      <c r="D153" s="3" t="s">
        <v>28</v>
      </c>
      <c r="E153" s="3">
        <v>71855.09</v>
      </c>
      <c r="F153" s="3">
        <v>5911.0</v>
      </c>
      <c r="G153" s="3">
        <v>0.197</v>
      </c>
      <c r="H153" s="3">
        <v>15.0</v>
      </c>
      <c r="I153" s="3">
        <v>94.3</v>
      </c>
      <c r="J153" s="3">
        <v>3.55</v>
      </c>
      <c r="K153" s="3">
        <v>0.0</v>
      </c>
      <c r="L153" s="3">
        <v>4.1</v>
      </c>
      <c r="M153" s="3">
        <v>725847.99</v>
      </c>
      <c r="N153" s="3">
        <v>122698.73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 t="s">
        <v>60</v>
      </c>
      <c r="B154" s="4">
        <v>45658.0</v>
      </c>
      <c r="C154" s="3" t="s">
        <v>15</v>
      </c>
      <c r="D154" s="3" t="s">
        <v>18</v>
      </c>
      <c r="E154" s="3">
        <v>75645.23</v>
      </c>
      <c r="F154" s="3">
        <v>9674.0</v>
      </c>
      <c r="G154" s="3">
        <v>0.234</v>
      </c>
      <c r="H154" s="3">
        <v>21.0</v>
      </c>
      <c r="I154" s="3">
        <v>87.4</v>
      </c>
      <c r="J154" s="3">
        <v>0.2</v>
      </c>
      <c r="K154" s="3">
        <v>0.0</v>
      </c>
      <c r="L154" s="3">
        <v>4.5</v>
      </c>
      <c r="M154" s="3">
        <v>785028.25</v>
      </c>
      <c r="N154" s="3">
        <v>110726.44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 t="s">
        <v>60</v>
      </c>
      <c r="B155" s="4">
        <v>45689.0</v>
      </c>
      <c r="C155" s="3" t="s">
        <v>15</v>
      </c>
      <c r="D155" s="3" t="s">
        <v>18</v>
      </c>
      <c r="E155" s="3">
        <v>64374.75</v>
      </c>
      <c r="F155" s="3">
        <v>6740.0</v>
      </c>
      <c r="G155" s="3">
        <v>0.169</v>
      </c>
      <c r="H155" s="3">
        <v>18.0</v>
      </c>
      <c r="I155" s="3">
        <v>87.0</v>
      </c>
      <c r="J155" s="3">
        <v>2.09</v>
      </c>
      <c r="K155" s="3">
        <v>0.0</v>
      </c>
      <c r="L155" s="3">
        <v>4.2</v>
      </c>
      <c r="M155" s="3">
        <v>698492.67</v>
      </c>
      <c r="N155" s="3">
        <v>117319.32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 t="s">
        <v>60</v>
      </c>
      <c r="B156" s="4">
        <v>45717.0</v>
      </c>
      <c r="C156" s="3" t="s">
        <v>15</v>
      </c>
      <c r="D156" s="3" t="s">
        <v>18</v>
      </c>
      <c r="E156" s="3">
        <v>61433.84</v>
      </c>
      <c r="F156" s="3">
        <v>7745.0</v>
      </c>
      <c r="G156" s="3">
        <v>0.18</v>
      </c>
      <c r="H156" s="3">
        <v>16.0</v>
      </c>
      <c r="I156" s="3">
        <v>90.5</v>
      </c>
      <c r="J156" s="3">
        <v>2.26</v>
      </c>
      <c r="K156" s="3">
        <v>0.0</v>
      </c>
      <c r="L156" s="3">
        <v>4.2</v>
      </c>
      <c r="M156" s="3">
        <v>685830.24</v>
      </c>
      <c r="N156" s="3">
        <v>128736.18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 t="s">
        <v>60</v>
      </c>
      <c r="B157" s="4">
        <v>45748.0</v>
      </c>
      <c r="C157" s="3" t="s">
        <v>15</v>
      </c>
      <c r="D157" s="3" t="s">
        <v>18</v>
      </c>
      <c r="E157" s="3">
        <v>42698.14</v>
      </c>
      <c r="F157" s="3">
        <v>7693.0</v>
      </c>
      <c r="G157" s="3">
        <v>0.187</v>
      </c>
      <c r="H157" s="3">
        <v>19.0</v>
      </c>
      <c r="I157" s="3">
        <v>90.1</v>
      </c>
      <c r="J157" s="3">
        <v>0.44</v>
      </c>
      <c r="K157" s="3">
        <v>0.0</v>
      </c>
      <c r="L157" s="3">
        <v>4.4</v>
      </c>
      <c r="M157" s="3">
        <v>702318.94</v>
      </c>
      <c r="N157" s="3">
        <v>112829.29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 t="s">
        <v>61</v>
      </c>
      <c r="B158" s="4">
        <v>45658.0</v>
      </c>
      <c r="C158" s="3" t="s">
        <v>20</v>
      </c>
      <c r="D158" s="3" t="s">
        <v>28</v>
      </c>
      <c r="E158" s="3">
        <v>86883.31</v>
      </c>
      <c r="F158" s="3">
        <v>6424.0</v>
      </c>
      <c r="G158" s="3">
        <v>0.057</v>
      </c>
      <c r="H158" s="3">
        <v>19.0</v>
      </c>
      <c r="I158" s="3">
        <v>85.2</v>
      </c>
      <c r="J158" s="3">
        <v>3.08</v>
      </c>
      <c r="K158" s="3">
        <v>0.0</v>
      </c>
      <c r="L158" s="3">
        <v>3.9</v>
      </c>
      <c r="M158" s="3">
        <v>700078.32</v>
      </c>
      <c r="N158" s="3">
        <v>123707.58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 t="s">
        <v>61</v>
      </c>
      <c r="B159" s="4">
        <v>45689.0</v>
      </c>
      <c r="C159" s="3" t="s">
        <v>20</v>
      </c>
      <c r="D159" s="3" t="s">
        <v>28</v>
      </c>
      <c r="E159" s="3">
        <v>41863.08</v>
      </c>
      <c r="F159" s="3">
        <v>5400.0</v>
      </c>
      <c r="G159" s="3">
        <v>0.114</v>
      </c>
      <c r="H159" s="3">
        <v>11.0</v>
      </c>
      <c r="I159" s="3">
        <v>91.6</v>
      </c>
      <c r="J159" s="3">
        <v>7.99</v>
      </c>
      <c r="K159" s="3">
        <v>0.0</v>
      </c>
      <c r="L159" s="3">
        <v>3.0</v>
      </c>
      <c r="M159" s="3">
        <v>602002.32</v>
      </c>
      <c r="N159" s="3">
        <v>110453.28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 t="s">
        <v>61</v>
      </c>
      <c r="B160" s="4">
        <v>45717.0</v>
      </c>
      <c r="C160" s="3" t="s">
        <v>20</v>
      </c>
      <c r="D160" s="3" t="s">
        <v>28</v>
      </c>
      <c r="E160" s="3">
        <v>56918.16</v>
      </c>
      <c r="F160" s="3">
        <v>7015.0</v>
      </c>
      <c r="G160" s="3">
        <v>0.158</v>
      </c>
      <c r="H160" s="3">
        <v>18.0</v>
      </c>
      <c r="I160" s="3">
        <v>74.2</v>
      </c>
      <c r="J160" s="3">
        <v>0.2</v>
      </c>
      <c r="K160" s="3">
        <v>0.0</v>
      </c>
      <c r="L160" s="3">
        <v>3.4</v>
      </c>
      <c r="M160" s="3">
        <v>724216.07</v>
      </c>
      <c r="N160" s="3">
        <v>100627.56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 t="s">
        <v>61</v>
      </c>
      <c r="B161" s="4">
        <v>45748.0</v>
      </c>
      <c r="C161" s="3" t="s">
        <v>20</v>
      </c>
      <c r="D161" s="3" t="s">
        <v>28</v>
      </c>
      <c r="E161" s="3">
        <v>23254.57</v>
      </c>
      <c r="F161" s="3">
        <v>3847.0</v>
      </c>
      <c r="G161" s="3">
        <v>0.159</v>
      </c>
      <c r="H161" s="3">
        <v>12.0</v>
      </c>
      <c r="I161" s="3">
        <v>93.0</v>
      </c>
      <c r="J161" s="3">
        <v>5.46</v>
      </c>
      <c r="K161" s="3">
        <v>0.0</v>
      </c>
      <c r="L161" s="3">
        <v>3.3</v>
      </c>
      <c r="M161" s="3">
        <v>620973.03</v>
      </c>
      <c r="N161" s="3">
        <v>72303.85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 t="s">
        <v>62</v>
      </c>
      <c r="B162" s="4">
        <v>45658.0</v>
      </c>
      <c r="C162" s="3" t="s">
        <v>24</v>
      </c>
      <c r="D162" s="3" t="s">
        <v>18</v>
      </c>
      <c r="E162" s="3">
        <v>41443.41</v>
      </c>
      <c r="F162" s="3">
        <v>7455.0</v>
      </c>
      <c r="G162" s="3">
        <v>0.175</v>
      </c>
      <c r="H162" s="3">
        <v>16.0</v>
      </c>
      <c r="I162" s="3">
        <v>90.1</v>
      </c>
      <c r="J162" s="3">
        <v>4.05</v>
      </c>
      <c r="K162" s="3">
        <v>0.0</v>
      </c>
      <c r="L162" s="3">
        <v>4.0</v>
      </c>
      <c r="M162" s="3">
        <v>650480.06</v>
      </c>
      <c r="N162" s="3">
        <v>109012.07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 t="s">
        <v>62</v>
      </c>
      <c r="B163" s="4">
        <v>45689.0</v>
      </c>
      <c r="C163" s="3" t="s">
        <v>24</v>
      </c>
      <c r="D163" s="3" t="s">
        <v>18</v>
      </c>
      <c r="E163" s="3">
        <v>48438.85</v>
      </c>
      <c r="F163" s="3">
        <v>6992.0</v>
      </c>
      <c r="G163" s="3">
        <v>0.034</v>
      </c>
      <c r="H163" s="3">
        <v>20.0</v>
      </c>
      <c r="I163" s="3">
        <v>91.0</v>
      </c>
      <c r="J163" s="3">
        <v>4.36</v>
      </c>
      <c r="K163" s="3">
        <v>0.0</v>
      </c>
      <c r="L163" s="3">
        <v>4.2</v>
      </c>
      <c r="M163" s="3">
        <v>778298.88</v>
      </c>
      <c r="N163" s="3">
        <v>130076.72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 t="s">
        <v>62</v>
      </c>
      <c r="B164" s="4">
        <v>45717.0</v>
      </c>
      <c r="C164" s="3" t="s">
        <v>24</v>
      </c>
      <c r="D164" s="3" t="s">
        <v>18</v>
      </c>
      <c r="E164" s="3">
        <v>57143.3</v>
      </c>
      <c r="F164" s="3">
        <v>8038.0</v>
      </c>
      <c r="G164" s="3">
        <v>0.193</v>
      </c>
      <c r="H164" s="3">
        <v>17.0</v>
      </c>
      <c r="I164" s="3">
        <v>72.6</v>
      </c>
      <c r="J164" s="5"/>
      <c r="K164" s="3">
        <v>0.0</v>
      </c>
      <c r="L164" s="3">
        <v>4.2</v>
      </c>
      <c r="M164" s="3">
        <v>677096.71</v>
      </c>
      <c r="N164" s="3">
        <v>97174.11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 t="s">
        <v>62</v>
      </c>
      <c r="B165" s="4">
        <v>45748.0</v>
      </c>
      <c r="C165" s="3" t="s">
        <v>24</v>
      </c>
      <c r="D165" s="3" t="s">
        <v>18</v>
      </c>
      <c r="E165" s="3">
        <v>66870.62</v>
      </c>
      <c r="F165" s="3">
        <v>6055.0</v>
      </c>
      <c r="G165" s="3">
        <v>0.075</v>
      </c>
      <c r="H165" s="3">
        <v>19.0</v>
      </c>
      <c r="I165" s="3">
        <v>93.8</v>
      </c>
      <c r="J165" s="3">
        <v>0.54</v>
      </c>
      <c r="K165" s="3">
        <v>0.0</v>
      </c>
      <c r="L165" s="3">
        <v>4.3</v>
      </c>
      <c r="M165" s="3">
        <v>692008.64</v>
      </c>
      <c r="N165" s="3">
        <v>116337.87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 t="s">
        <v>63</v>
      </c>
      <c r="B166" s="4">
        <v>45658.0</v>
      </c>
      <c r="C166" s="3" t="s">
        <v>20</v>
      </c>
      <c r="D166" s="3" t="s">
        <v>28</v>
      </c>
      <c r="E166" s="3">
        <v>72150.53</v>
      </c>
      <c r="F166" s="3">
        <v>9323.0</v>
      </c>
      <c r="G166" s="3">
        <v>0.157</v>
      </c>
      <c r="H166" s="3">
        <v>22.0</v>
      </c>
      <c r="I166" s="3">
        <v>82.9</v>
      </c>
      <c r="J166" s="3">
        <v>11.37</v>
      </c>
      <c r="K166" s="3">
        <v>1.0</v>
      </c>
      <c r="L166" s="3">
        <v>4.3</v>
      </c>
      <c r="M166" s="3">
        <v>825797.91</v>
      </c>
      <c r="N166" s="3">
        <v>130945.24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 t="s">
        <v>63</v>
      </c>
      <c r="B167" s="4">
        <v>45689.0</v>
      </c>
      <c r="C167" s="3" t="s">
        <v>20</v>
      </c>
      <c r="D167" s="3" t="s">
        <v>28</v>
      </c>
      <c r="E167" s="3">
        <v>35303.3</v>
      </c>
      <c r="F167" s="3">
        <v>8789.0</v>
      </c>
      <c r="G167" s="3">
        <v>0.123</v>
      </c>
      <c r="H167" s="3">
        <v>22.0</v>
      </c>
      <c r="I167" s="3">
        <v>86.1</v>
      </c>
      <c r="J167" s="3">
        <v>9.43</v>
      </c>
      <c r="K167" s="3">
        <v>0.0</v>
      </c>
      <c r="L167" s="3">
        <v>4.2</v>
      </c>
      <c r="M167" s="3">
        <v>706285.52</v>
      </c>
      <c r="N167" s="3">
        <v>138014.72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 t="s">
        <v>63</v>
      </c>
      <c r="B168" s="4">
        <v>45717.0</v>
      </c>
      <c r="C168" s="3" t="s">
        <v>20</v>
      </c>
      <c r="D168" s="3" t="s">
        <v>28</v>
      </c>
      <c r="E168" s="3">
        <v>30301.86</v>
      </c>
      <c r="F168" s="3">
        <v>6939.0</v>
      </c>
      <c r="G168" s="3">
        <v>0.09</v>
      </c>
      <c r="H168" s="3">
        <v>16.0</v>
      </c>
      <c r="I168" s="3">
        <v>90.3</v>
      </c>
      <c r="J168" s="3">
        <v>3.49</v>
      </c>
      <c r="K168" s="3">
        <v>0.0</v>
      </c>
      <c r="L168" s="3">
        <v>4.0</v>
      </c>
      <c r="M168" s="3">
        <v>665534.7</v>
      </c>
      <c r="N168" s="3">
        <v>113167.73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 t="s">
        <v>63</v>
      </c>
      <c r="B169" s="4">
        <v>45748.0</v>
      </c>
      <c r="C169" s="3" t="s">
        <v>20</v>
      </c>
      <c r="D169" s="3" t="s">
        <v>28</v>
      </c>
      <c r="E169" s="3">
        <v>78432.14</v>
      </c>
      <c r="F169" s="3">
        <v>9440.0</v>
      </c>
      <c r="G169" s="3">
        <v>0.126</v>
      </c>
      <c r="H169" s="3">
        <v>23.0</v>
      </c>
      <c r="I169" s="3">
        <v>89.2</v>
      </c>
      <c r="J169" s="3">
        <v>7.86</v>
      </c>
      <c r="K169" s="3">
        <v>0.0</v>
      </c>
      <c r="L169" s="3">
        <v>4.1</v>
      </c>
      <c r="M169" s="3">
        <v>820729.29</v>
      </c>
      <c r="N169" s="3">
        <v>159325.47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 t="s">
        <v>64</v>
      </c>
      <c r="B170" s="4">
        <v>45658.0</v>
      </c>
      <c r="C170" s="3" t="s">
        <v>15</v>
      </c>
      <c r="D170" s="3" t="s">
        <v>16</v>
      </c>
      <c r="E170" s="3">
        <v>62059.18</v>
      </c>
      <c r="F170" s="3">
        <v>9374.0</v>
      </c>
      <c r="G170" s="3">
        <v>0.136</v>
      </c>
      <c r="H170" s="3">
        <v>25.0</v>
      </c>
      <c r="I170" s="3">
        <v>87.1</v>
      </c>
      <c r="J170" s="3">
        <v>12.55</v>
      </c>
      <c r="K170" s="3">
        <v>0.0</v>
      </c>
      <c r="L170" s="3">
        <v>4.9</v>
      </c>
      <c r="M170" s="3">
        <v>739831.73</v>
      </c>
      <c r="N170" s="3">
        <v>119490.21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 t="s">
        <v>64</v>
      </c>
      <c r="B171" s="4">
        <v>45689.0</v>
      </c>
      <c r="C171" s="3" t="s">
        <v>15</v>
      </c>
      <c r="D171" s="3" t="s">
        <v>16</v>
      </c>
      <c r="E171" s="3">
        <v>32834.48</v>
      </c>
      <c r="F171" s="3">
        <v>7576.0</v>
      </c>
      <c r="G171" s="3">
        <v>0.099</v>
      </c>
      <c r="H171" s="3">
        <v>15.0</v>
      </c>
      <c r="I171" s="3">
        <v>84.1</v>
      </c>
      <c r="J171" s="3">
        <v>3.48</v>
      </c>
      <c r="K171" s="3">
        <v>0.0</v>
      </c>
      <c r="L171" s="3">
        <v>5.0</v>
      </c>
      <c r="M171" s="3">
        <v>593637.14</v>
      </c>
      <c r="N171" s="3">
        <v>106648.14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 t="s">
        <v>64</v>
      </c>
      <c r="B172" s="4">
        <v>45717.0</v>
      </c>
      <c r="C172" s="3" t="s">
        <v>15</v>
      </c>
      <c r="D172" s="3" t="s">
        <v>16</v>
      </c>
      <c r="E172" s="3">
        <v>50825.08</v>
      </c>
      <c r="F172" s="3">
        <v>8949.0</v>
      </c>
      <c r="G172" s="3">
        <v>0.157</v>
      </c>
      <c r="H172" s="3">
        <v>21.0</v>
      </c>
      <c r="I172" s="3">
        <v>84.7</v>
      </c>
      <c r="J172" s="3">
        <v>7.73</v>
      </c>
      <c r="K172" s="3">
        <v>0.0</v>
      </c>
      <c r="L172" s="3">
        <v>4.9</v>
      </c>
      <c r="M172" s="3">
        <v>769702.76</v>
      </c>
      <c r="N172" s="3">
        <v>158697.0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 t="s">
        <v>64</v>
      </c>
      <c r="B173" s="4">
        <v>45748.0</v>
      </c>
      <c r="C173" s="3" t="s">
        <v>15</v>
      </c>
      <c r="D173" s="3" t="s">
        <v>16</v>
      </c>
      <c r="E173" s="3">
        <v>36606.51</v>
      </c>
      <c r="F173" s="3">
        <v>7671.0</v>
      </c>
      <c r="G173" s="3">
        <v>0.118</v>
      </c>
      <c r="H173" s="3">
        <v>18.0</v>
      </c>
      <c r="I173" s="3">
        <v>89.8</v>
      </c>
      <c r="J173" s="3">
        <v>0.25</v>
      </c>
      <c r="K173" s="3">
        <v>0.0</v>
      </c>
      <c r="L173" s="3">
        <v>4.4</v>
      </c>
      <c r="M173" s="3">
        <v>679731.57</v>
      </c>
      <c r="N173" s="3">
        <v>121546.42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 t="s">
        <v>65</v>
      </c>
      <c r="B174" s="4">
        <v>45658.0</v>
      </c>
      <c r="C174" s="3" t="s">
        <v>15</v>
      </c>
      <c r="D174" s="3" t="s">
        <v>16</v>
      </c>
      <c r="E174" s="3">
        <v>65237.79</v>
      </c>
      <c r="F174" s="3">
        <v>8741.0</v>
      </c>
      <c r="G174" s="3">
        <v>0.157</v>
      </c>
      <c r="H174" s="3">
        <v>20.0</v>
      </c>
      <c r="I174" s="3">
        <v>94.4</v>
      </c>
      <c r="J174" s="3">
        <v>6.43</v>
      </c>
      <c r="K174" s="3">
        <v>0.0</v>
      </c>
      <c r="L174" s="3">
        <v>3.3</v>
      </c>
      <c r="M174" s="3">
        <v>780344.18</v>
      </c>
      <c r="N174" s="3">
        <v>118239.09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 t="s">
        <v>65</v>
      </c>
      <c r="B175" s="4">
        <v>45689.0</v>
      </c>
      <c r="C175" s="3" t="s">
        <v>15</v>
      </c>
      <c r="D175" s="3" t="s">
        <v>16</v>
      </c>
      <c r="E175" s="3">
        <v>43645.98</v>
      </c>
      <c r="F175" s="3">
        <v>9480.0</v>
      </c>
      <c r="G175" s="3">
        <v>0.109</v>
      </c>
      <c r="H175" s="3">
        <v>22.0</v>
      </c>
      <c r="I175" s="3">
        <v>89.0</v>
      </c>
      <c r="J175" s="3">
        <v>2.11</v>
      </c>
      <c r="K175" s="3">
        <v>0.0</v>
      </c>
      <c r="L175" s="3">
        <v>3.1</v>
      </c>
      <c r="M175" s="3">
        <v>721364.11</v>
      </c>
      <c r="N175" s="3">
        <v>147272.81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 t="s">
        <v>65</v>
      </c>
      <c r="B176" s="4">
        <v>45717.0</v>
      </c>
      <c r="C176" s="3" t="s">
        <v>15</v>
      </c>
      <c r="D176" s="3" t="s">
        <v>16</v>
      </c>
      <c r="E176" s="3">
        <v>68040.15</v>
      </c>
      <c r="F176" s="3">
        <v>9826.0</v>
      </c>
      <c r="G176" s="3">
        <v>0.125</v>
      </c>
      <c r="H176" s="3">
        <v>20.0</v>
      </c>
      <c r="I176" s="3">
        <v>83.9</v>
      </c>
      <c r="J176" s="3">
        <v>9.12</v>
      </c>
      <c r="K176" s="3">
        <v>0.0</v>
      </c>
      <c r="L176" s="3">
        <v>3.6</v>
      </c>
      <c r="M176" s="3">
        <v>758138.29</v>
      </c>
      <c r="N176" s="3">
        <v>132975.26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 t="s">
        <v>65</v>
      </c>
      <c r="B177" s="4">
        <v>45748.0</v>
      </c>
      <c r="C177" s="3" t="s">
        <v>15</v>
      </c>
      <c r="D177" s="3" t="s">
        <v>16</v>
      </c>
      <c r="E177" s="3">
        <v>63043.94</v>
      </c>
      <c r="F177" s="3">
        <v>10402.0</v>
      </c>
      <c r="G177" s="3">
        <v>0.159</v>
      </c>
      <c r="H177" s="3">
        <v>23.0</v>
      </c>
      <c r="I177" s="3">
        <v>93.9</v>
      </c>
      <c r="J177" s="3">
        <v>2.71</v>
      </c>
      <c r="K177" s="3">
        <v>0.0</v>
      </c>
      <c r="L177" s="3">
        <v>3.1</v>
      </c>
      <c r="M177" s="3">
        <v>804264.0</v>
      </c>
      <c r="N177" s="3">
        <v>167117.91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 t="s">
        <v>66</v>
      </c>
      <c r="B178" s="4">
        <v>45658.0</v>
      </c>
      <c r="C178" s="3" t="s">
        <v>27</v>
      </c>
      <c r="D178" s="3" t="s">
        <v>21</v>
      </c>
      <c r="E178" s="3">
        <v>67494.09</v>
      </c>
      <c r="F178" s="3">
        <v>12361.0</v>
      </c>
      <c r="G178" s="3">
        <v>0.046</v>
      </c>
      <c r="H178" s="3">
        <v>24.0</v>
      </c>
      <c r="I178" s="3">
        <v>76.6</v>
      </c>
      <c r="J178" s="3">
        <v>3.65</v>
      </c>
      <c r="K178" s="3">
        <v>1.0</v>
      </c>
      <c r="L178" s="3">
        <v>3.7</v>
      </c>
      <c r="M178" s="3">
        <v>887537.75</v>
      </c>
      <c r="N178" s="3">
        <v>160362.92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 t="s">
        <v>66</v>
      </c>
      <c r="B179" s="4">
        <v>45689.0</v>
      </c>
      <c r="C179" s="3" t="s">
        <v>27</v>
      </c>
      <c r="D179" s="3" t="s">
        <v>21</v>
      </c>
      <c r="E179" s="3">
        <v>29389.32</v>
      </c>
      <c r="F179" s="3">
        <v>7925.0</v>
      </c>
      <c r="G179" s="3">
        <v>0.177</v>
      </c>
      <c r="H179" s="3">
        <v>21.0</v>
      </c>
      <c r="I179" s="3">
        <v>90.9</v>
      </c>
      <c r="J179" s="3">
        <v>7.86</v>
      </c>
      <c r="K179" s="3">
        <v>0.0</v>
      </c>
      <c r="L179" s="3">
        <v>4.0</v>
      </c>
      <c r="M179" s="3">
        <v>783582.0</v>
      </c>
      <c r="N179" s="3">
        <v>130670.93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 t="s">
        <v>66</v>
      </c>
      <c r="B180" s="4">
        <v>45717.0</v>
      </c>
      <c r="C180" s="3" t="s">
        <v>27</v>
      </c>
      <c r="D180" s="3" t="s">
        <v>21</v>
      </c>
      <c r="E180" s="3">
        <v>40535.09</v>
      </c>
      <c r="F180" s="3">
        <v>8870.0</v>
      </c>
      <c r="G180" s="3">
        <v>0.041</v>
      </c>
      <c r="H180" s="3">
        <v>21.0</v>
      </c>
      <c r="I180" s="3">
        <v>86.6</v>
      </c>
      <c r="J180" s="3">
        <v>0.3</v>
      </c>
      <c r="K180" s="3">
        <v>0.0</v>
      </c>
      <c r="L180" s="3">
        <v>4.1</v>
      </c>
      <c r="M180" s="3">
        <v>781955.52</v>
      </c>
      <c r="N180" s="3">
        <v>152578.71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 t="s">
        <v>66</v>
      </c>
      <c r="B181" s="4">
        <v>45748.0</v>
      </c>
      <c r="C181" s="3" t="s">
        <v>27</v>
      </c>
      <c r="D181" s="3" t="s">
        <v>21</v>
      </c>
      <c r="E181" s="3">
        <v>74881.56</v>
      </c>
      <c r="F181" s="3">
        <v>9999.0</v>
      </c>
      <c r="G181" s="3">
        <v>0.013</v>
      </c>
      <c r="H181" s="3">
        <v>20.0</v>
      </c>
      <c r="I181" s="3">
        <v>89.6</v>
      </c>
      <c r="J181" s="3">
        <v>8.44</v>
      </c>
      <c r="K181" s="3">
        <v>0.0</v>
      </c>
      <c r="L181" s="3">
        <v>4.1</v>
      </c>
      <c r="M181" s="3">
        <v>898031.04</v>
      </c>
      <c r="N181" s="3">
        <v>138666.5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 t="s">
        <v>67</v>
      </c>
      <c r="B182" s="4">
        <v>45658.0</v>
      </c>
      <c r="C182" s="3" t="s">
        <v>27</v>
      </c>
      <c r="D182" s="3" t="s">
        <v>16</v>
      </c>
      <c r="E182" s="3">
        <v>68491.11</v>
      </c>
      <c r="F182" s="3">
        <v>11154.0</v>
      </c>
      <c r="G182" s="3">
        <v>0.001</v>
      </c>
      <c r="H182" s="3">
        <v>24.0</v>
      </c>
      <c r="I182" s="3">
        <v>89.4</v>
      </c>
      <c r="J182" s="3">
        <v>5.27</v>
      </c>
      <c r="K182" s="3">
        <v>1.0</v>
      </c>
      <c r="L182" s="3">
        <v>3.9</v>
      </c>
      <c r="M182" s="3">
        <v>855341.28</v>
      </c>
      <c r="N182" s="3">
        <v>175823.8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 t="s">
        <v>67</v>
      </c>
      <c r="B183" s="4">
        <v>45689.0</v>
      </c>
      <c r="C183" s="3" t="s">
        <v>27</v>
      </c>
      <c r="D183" s="3" t="s">
        <v>16</v>
      </c>
      <c r="E183" s="3">
        <v>45209.25</v>
      </c>
      <c r="F183" s="3">
        <v>9287.0</v>
      </c>
      <c r="G183" s="3">
        <v>0.141</v>
      </c>
      <c r="H183" s="3">
        <v>22.0</v>
      </c>
      <c r="I183" s="3">
        <v>86.4</v>
      </c>
      <c r="J183" s="3">
        <v>13.22</v>
      </c>
      <c r="K183" s="3">
        <v>0.0</v>
      </c>
      <c r="L183" s="3">
        <v>3.6</v>
      </c>
      <c r="M183" s="3">
        <v>751393.88</v>
      </c>
      <c r="N183" s="3">
        <v>91480.32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 t="s">
        <v>67</v>
      </c>
      <c r="B184" s="4">
        <v>45717.0</v>
      </c>
      <c r="C184" s="3" t="s">
        <v>27</v>
      </c>
      <c r="D184" s="3" t="s">
        <v>16</v>
      </c>
      <c r="E184" s="3">
        <v>63010.23</v>
      </c>
      <c r="F184" s="3">
        <v>9812.0</v>
      </c>
      <c r="G184" s="3">
        <v>0.113</v>
      </c>
      <c r="H184" s="3">
        <v>24.0</v>
      </c>
      <c r="I184" s="3">
        <v>76.8</v>
      </c>
      <c r="J184" s="3">
        <v>1.02</v>
      </c>
      <c r="K184" s="3">
        <v>1.0</v>
      </c>
      <c r="L184" s="3">
        <v>3.8</v>
      </c>
      <c r="M184" s="3">
        <v>761077.08</v>
      </c>
      <c r="N184" s="3">
        <v>113605.93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 t="s">
        <v>67</v>
      </c>
      <c r="B185" s="4">
        <v>45748.0</v>
      </c>
      <c r="C185" s="3" t="s">
        <v>27</v>
      </c>
      <c r="D185" s="3" t="s">
        <v>16</v>
      </c>
      <c r="E185" s="3">
        <v>57948.88</v>
      </c>
      <c r="F185" s="3">
        <v>10741.0</v>
      </c>
      <c r="G185" s="3">
        <v>0.07</v>
      </c>
      <c r="H185" s="3">
        <v>25.0</v>
      </c>
      <c r="I185" s="3">
        <v>90.1</v>
      </c>
      <c r="J185" s="3">
        <v>4.03</v>
      </c>
      <c r="K185" s="3">
        <v>0.0</v>
      </c>
      <c r="L185" s="3">
        <v>3.1</v>
      </c>
      <c r="M185" s="3">
        <v>819660.59</v>
      </c>
      <c r="N185" s="3">
        <v>172699.95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 t="s">
        <v>68</v>
      </c>
      <c r="B186" s="4">
        <v>45658.0</v>
      </c>
      <c r="C186" s="3" t="s">
        <v>20</v>
      </c>
      <c r="D186" s="3" t="s">
        <v>18</v>
      </c>
      <c r="E186" s="3">
        <v>71941.62</v>
      </c>
      <c r="F186" s="3">
        <v>6084.0</v>
      </c>
      <c r="G186" s="3">
        <v>0.072</v>
      </c>
      <c r="H186" s="3">
        <v>13.0</v>
      </c>
      <c r="I186" s="3">
        <v>93.7</v>
      </c>
      <c r="J186" s="3">
        <v>2.34</v>
      </c>
      <c r="K186" s="3">
        <v>0.0</v>
      </c>
      <c r="L186" s="3">
        <v>4.4</v>
      </c>
      <c r="M186" s="3">
        <v>681855.56</v>
      </c>
      <c r="N186" s="3">
        <v>117645.61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 t="s">
        <v>68</v>
      </c>
      <c r="B187" s="4">
        <v>45689.0</v>
      </c>
      <c r="C187" s="3" t="s">
        <v>20</v>
      </c>
      <c r="D187" s="3" t="s">
        <v>18</v>
      </c>
      <c r="E187" s="3">
        <v>57147.88</v>
      </c>
      <c r="F187" s="3">
        <v>5252.0</v>
      </c>
      <c r="G187" s="3">
        <v>0.161</v>
      </c>
      <c r="H187" s="3">
        <v>15.0</v>
      </c>
      <c r="I187" s="3">
        <v>95.5</v>
      </c>
      <c r="J187" s="3">
        <v>8.51</v>
      </c>
      <c r="K187" s="3">
        <v>0.0</v>
      </c>
      <c r="L187" s="3">
        <v>4.4</v>
      </c>
      <c r="M187" s="3">
        <v>678311.17</v>
      </c>
      <c r="N187" s="3">
        <v>132029.76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 t="s">
        <v>68</v>
      </c>
      <c r="B188" s="4">
        <v>45717.0</v>
      </c>
      <c r="C188" s="3" t="s">
        <v>20</v>
      </c>
      <c r="D188" s="3" t="s">
        <v>18</v>
      </c>
      <c r="E188" s="3">
        <v>48031.74</v>
      </c>
      <c r="F188" s="3">
        <v>6516.0</v>
      </c>
      <c r="G188" s="3">
        <v>0.067</v>
      </c>
      <c r="H188" s="3">
        <v>14.0</v>
      </c>
      <c r="I188" s="3">
        <v>99.0</v>
      </c>
      <c r="J188" s="3">
        <v>0.48</v>
      </c>
      <c r="K188" s="3">
        <v>1.0</v>
      </c>
      <c r="L188" s="3">
        <v>4.3</v>
      </c>
      <c r="M188" s="3">
        <v>765906.95</v>
      </c>
      <c r="N188" s="3">
        <v>114005.9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 t="s">
        <v>68</v>
      </c>
      <c r="B189" s="4">
        <v>45748.0</v>
      </c>
      <c r="C189" s="3" t="s">
        <v>20</v>
      </c>
      <c r="D189" s="3" t="s">
        <v>18</v>
      </c>
      <c r="E189" s="3">
        <v>72784.8</v>
      </c>
      <c r="F189" s="3">
        <v>7932.0</v>
      </c>
      <c r="G189" s="3">
        <v>0.094</v>
      </c>
      <c r="H189" s="3">
        <v>20.0</v>
      </c>
      <c r="I189" s="3">
        <v>74.9</v>
      </c>
      <c r="J189" s="3">
        <v>13.62</v>
      </c>
      <c r="K189" s="3">
        <v>0.0</v>
      </c>
      <c r="L189" s="3">
        <v>4.2</v>
      </c>
      <c r="M189" s="3">
        <v>712546.38</v>
      </c>
      <c r="N189" s="3">
        <v>101480.04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 t="s">
        <v>69</v>
      </c>
      <c r="B190" s="4">
        <v>45658.0</v>
      </c>
      <c r="C190" s="3" t="s">
        <v>15</v>
      </c>
      <c r="D190" s="3" t="s">
        <v>18</v>
      </c>
      <c r="E190" s="3">
        <v>71641.9</v>
      </c>
      <c r="F190" s="3">
        <v>3506.0</v>
      </c>
      <c r="G190" s="3">
        <v>0.0</v>
      </c>
      <c r="H190" s="3">
        <v>11.0</v>
      </c>
      <c r="I190" s="3">
        <v>86.4</v>
      </c>
      <c r="J190" s="3">
        <v>7.77</v>
      </c>
      <c r="K190" s="3">
        <v>0.0</v>
      </c>
      <c r="L190" s="3">
        <v>4.1</v>
      </c>
      <c r="M190" s="3">
        <v>625993.83</v>
      </c>
      <c r="N190" s="3">
        <v>98960.32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 t="s">
        <v>69</v>
      </c>
      <c r="B191" s="4">
        <v>45689.0</v>
      </c>
      <c r="C191" s="3" t="s">
        <v>15</v>
      </c>
      <c r="D191" s="3" t="s">
        <v>18</v>
      </c>
      <c r="E191" s="3">
        <v>55788.61</v>
      </c>
      <c r="F191" s="3">
        <v>2312.0</v>
      </c>
      <c r="G191" s="3">
        <v>0.058</v>
      </c>
      <c r="H191" s="3">
        <v>10.0</v>
      </c>
      <c r="I191" s="3">
        <v>91.3</v>
      </c>
      <c r="J191" s="3">
        <v>1.99</v>
      </c>
      <c r="K191" s="3">
        <v>0.0</v>
      </c>
      <c r="L191" s="3">
        <v>3.8</v>
      </c>
      <c r="M191" s="3">
        <v>550962.93</v>
      </c>
      <c r="N191" s="3">
        <v>97144.58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 t="s">
        <v>69</v>
      </c>
      <c r="B192" s="4">
        <v>45717.0</v>
      </c>
      <c r="C192" s="3" t="s">
        <v>15</v>
      </c>
      <c r="D192" s="3" t="s">
        <v>18</v>
      </c>
      <c r="E192" s="3">
        <v>37705.88</v>
      </c>
      <c r="F192" s="3">
        <v>1268.0</v>
      </c>
      <c r="G192" s="3">
        <v>0.259</v>
      </c>
      <c r="H192" s="3">
        <v>9.0</v>
      </c>
      <c r="I192" s="3">
        <v>84.1</v>
      </c>
      <c r="J192" s="3">
        <v>4.77</v>
      </c>
      <c r="K192" s="3">
        <v>0.0</v>
      </c>
      <c r="L192" s="3">
        <v>3.8</v>
      </c>
      <c r="M192" s="3">
        <v>443275.59</v>
      </c>
      <c r="N192" s="3">
        <v>53544.36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 t="s">
        <v>69</v>
      </c>
      <c r="B193" s="4">
        <v>45748.0</v>
      </c>
      <c r="C193" s="3" t="s">
        <v>15</v>
      </c>
      <c r="D193" s="3" t="s">
        <v>18</v>
      </c>
      <c r="E193" s="3">
        <v>54966.18</v>
      </c>
      <c r="F193" s="3">
        <v>4423.0</v>
      </c>
      <c r="G193" s="3">
        <v>0.186</v>
      </c>
      <c r="H193" s="3">
        <v>13.0</v>
      </c>
      <c r="I193" s="3">
        <v>88.7</v>
      </c>
      <c r="J193" s="3">
        <v>0.2</v>
      </c>
      <c r="K193" s="3">
        <v>0.0</v>
      </c>
      <c r="L193" s="3">
        <v>4.4</v>
      </c>
      <c r="M193" s="3">
        <v>554012.07</v>
      </c>
      <c r="N193" s="3">
        <v>81101.62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 t="s">
        <v>70</v>
      </c>
      <c r="B194" s="4">
        <v>45658.0</v>
      </c>
      <c r="C194" s="3" t="s">
        <v>27</v>
      </c>
      <c r="D194" s="3" t="s">
        <v>16</v>
      </c>
      <c r="E194" s="3">
        <v>81796.74</v>
      </c>
      <c r="F194" s="3">
        <v>6177.0</v>
      </c>
      <c r="G194" s="3">
        <v>0.164</v>
      </c>
      <c r="H194" s="3">
        <v>14.0</v>
      </c>
      <c r="I194" s="3">
        <v>87.9</v>
      </c>
      <c r="J194" s="3">
        <v>0.53</v>
      </c>
      <c r="K194" s="3">
        <v>0.0</v>
      </c>
      <c r="L194" s="3">
        <v>3.2</v>
      </c>
      <c r="M194" s="3">
        <v>643428.85</v>
      </c>
      <c r="N194" s="3">
        <v>94477.63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 t="s">
        <v>70</v>
      </c>
      <c r="B195" s="4">
        <v>45689.0</v>
      </c>
      <c r="C195" s="3" t="s">
        <v>27</v>
      </c>
      <c r="D195" s="3" t="s">
        <v>16</v>
      </c>
      <c r="E195" s="3">
        <v>51133.43</v>
      </c>
      <c r="F195" s="3">
        <v>5150.0</v>
      </c>
      <c r="G195" s="3">
        <v>0.15</v>
      </c>
      <c r="H195" s="3">
        <v>12.0</v>
      </c>
      <c r="I195" s="3">
        <v>88.5</v>
      </c>
      <c r="J195" s="3">
        <v>1.54</v>
      </c>
      <c r="K195" s="3">
        <v>0.0</v>
      </c>
      <c r="L195" s="3">
        <v>3.2</v>
      </c>
      <c r="M195" s="3">
        <v>611924.27</v>
      </c>
      <c r="N195" s="3">
        <v>115488.75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 t="s">
        <v>70</v>
      </c>
      <c r="B196" s="4">
        <v>45717.0</v>
      </c>
      <c r="C196" s="3" t="s">
        <v>27</v>
      </c>
      <c r="D196" s="3" t="s">
        <v>16</v>
      </c>
      <c r="E196" s="3">
        <v>40220.18</v>
      </c>
      <c r="F196" s="3">
        <v>3783.0</v>
      </c>
      <c r="G196" s="3">
        <v>0.089</v>
      </c>
      <c r="H196" s="3">
        <v>14.0</v>
      </c>
      <c r="I196" s="3">
        <v>86.6</v>
      </c>
      <c r="J196" s="3">
        <v>3.63</v>
      </c>
      <c r="K196" s="3">
        <v>0.0</v>
      </c>
      <c r="L196" s="3">
        <v>3.7</v>
      </c>
      <c r="M196" s="3">
        <v>559422.02</v>
      </c>
      <c r="N196" s="3">
        <v>73528.74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 t="s">
        <v>70</v>
      </c>
      <c r="B197" s="4">
        <v>45748.0</v>
      </c>
      <c r="C197" s="3" t="s">
        <v>27</v>
      </c>
      <c r="D197" s="3" t="s">
        <v>16</v>
      </c>
      <c r="E197" s="3">
        <v>41657.64</v>
      </c>
      <c r="F197" s="3">
        <v>3135.0</v>
      </c>
      <c r="G197" s="3">
        <v>0.229</v>
      </c>
      <c r="H197" s="3">
        <v>7.0</v>
      </c>
      <c r="I197" s="3">
        <v>85.4</v>
      </c>
      <c r="J197" s="3">
        <v>13.48</v>
      </c>
      <c r="K197" s="3">
        <v>0.0</v>
      </c>
      <c r="L197" s="5"/>
      <c r="M197" s="3">
        <v>449465.06</v>
      </c>
      <c r="N197" s="3">
        <v>65694.78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 t="s">
        <v>71</v>
      </c>
      <c r="B198" s="4">
        <v>45658.0</v>
      </c>
      <c r="C198" s="3" t="s">
        <v>20</v>
      </c>
      <c r="D198" s="3" t="s">
        <v>16</v>
      </c>
      <c r="E198" s="3">
        <v>71851.45</v>
      </c>
      <c r="F198" s="3">
        <v>4970.0</v>
      </c>
      <c r="G198" s="3">
        <v>0.098</v>
      </c>
      <c r="H198" s="3">
        <v>11.0</v>
      </c>
      <c r="I198" s="3">
        <v>89.6</v>
      </c>
      <c r="J198" s="3">
        <v>0.2</v>
      </c>
      <c r="K198" s="3">
        <v>0.0</v>
      </c>
      <c r="L198" s="3">
        <v>4.2</v>
      </c>
      <c r="M198" s="3">
        <v>691447.43</v>
      </c>
      <c r="N198" s="3">
        <v>114077.69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 t="s">
        <v>71</v>
      </c>
      <c r="B199" s="4">
        <v>45689.0</v>
      </c>
      <c r="C199" s="3" t="s">
        <v>20</v>
      </c>
      <c r="D199" s="3" t="s">
        <v>16</v>
      </c>
      <c r="E199" s="3">
        <v>54002.83</v>
      </c>
      <c r="F199" s="3">
        <v>4366.0</v>
      </c>
      <c r="G199" s="3">
        <v>0.027</v>
      </c>
      <c r="H199" s="3">
        <v>15.0</v>
      </c>
      <c r="I199" s="3">
        <v>90.6</v>
      </c>
      <c r="J199" s="3">
        <v>12.82</v>
      </c>
      <c r="K199" s="3">
        <v>0.0</v>
      </c>
      <c r="L199" s="3">
        <v>4.6</v>
      </c>
      <c r="M199" s="3">
        <v>574066.61</v>
      </c>
      <c r="N199" s="3">
        <v>124674.67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 t="s">
        <v>71</v>
      </c>
      <c r="B200" s="4">
        <v>45717.0</v>
      </c>
      <c r="C200" s="3" t="s">
        <v>20</v>
      </c>
      <c r="D200" s="3" t="s">
        <v>16</v>
      </c>
      <c r="E200" s="3">
        <v>54479.33</v>
      </c>
      <c r="F200" s="3">
        <v>5012.0</v>
      </c>
      <c r="G200" s="3">
        <v>0.284</v>
      </c>
      <c r="H200" s="3">
        <v>13.0</v>
      </c>
      <c r="I200" s="3">
        <v>86.0</v>
      </c>
      <c r="J200" s="3">
        <v>2.24</v>
      </c>
      <c r="K200" s="3">
        <v>1.0</v>
      </c>
      <c r="L200" s="3">
        <v>4.3</v>
      </c>
      <c r="M200" s="3">
        <v>578949.84</v>
      </c>
      <c r="N200" s="3">
        <v>80253.65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 t="s">
        <v>71</v>
      </c>
      <c r="B201" s="4">
        <v>45748.0</v>
      </c>
      <c r="C201" s="3" t="s">
        <v>20</v>
      </c>
      <c r="D201" s="3" t="s">
        <v>16</v>
      </c>
      <c r="E201" s="3">
        <v>61391.8</v>
      </c>
      <c r="F201" s="3">
        <v>5575.0</v>
      </c>
      <c r="G201" s="3">
        <v>0.189</v>
      </c>
      <c r="H201" s="3">
        <v>18.0</v>
      </c>
      <c r="I201" s="3">
        <v>90.0</v>
      </c>
      <c r="J201" s="3">
        <v>1.8</v>
      </c>
      <c r="K201" s="3">
        <v>0.0</v>
      </c>
      <c r="L201" s="3">
        <v>4.8</v>
      </c>
      <c r="M201" s="3">
        <v>735786.64</v>
      </c>
      <c r="N201" s="3">
        <v>126540.66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 t="s">
        <v>72</v>
      </c>
      <c r="B202" s="4">
        <v>45658.0</v>
      </c>
      <c r="C202" s="3" t="s">
        <v>15</v>
      </c>
      <c r="D202" s="3" t="s">
        <v>21</v>
      </c>
      <c r="E202" s="3">
        <v>22312.93</v>
      </c>
      <c r="F202" s="3">
        <v>5955.0</v>
      </c>
      <c r="G202" s="3">
        <v>0.123</v>
      </c>
      <c r="H202" s="3">
        <v>13.0</v>
      </c>
      <c r="I202" s="3">
        <v>84.2</v>
      </c>
      <c r="J202" s="3">
        <v>0.41</v>
      </c>
      <c r="K202" s="3">
        <v>1.0</v>
      </c>
      <c r="L202" s="3">
        <v>4.6</v>
      </c>
      <c r="M202" s="3">
        <v>598904.9</v>
      </c>
      <c r="N202" s="3">
        <v>72861.0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 t="s">
        <v>72</v>
      </c>
      <c r="B203" s="4">
        <v>45689.0</v>
      </c>
      <c r="C203" s="3" t="s">
        <v>15</v>
      </c>
      <c r="D203" s="3" t="s">
        <v>21</v>
      </c>
      <c r="E203" s="3">
        <v>78111.97</v>
      </c>
      <c r="F203" s="3">
        <v>6389.0</v>
      </c>
      <c r="G203" s="3">
        <v>0.15</v>
      </c>
      <c r="H203" s="3">
        <v>13.0</v>
      </c>
      <c r="I203" s="3">
        <v>83.9</v>
      </c>
      <c r="J203" s="3">
        <v>3.05</v>
      </c>
      <c r="K203" s="3">
        <v>0.0</v>
      </c>
      <c r="L203" s="3">
        <v>4.8</v>
      </c>
      <c r="M203" s="3">
        <v>787715.51</v>
      </c>
      <c r="N203" s="3">
        <v>128969.62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 t="s">
        <v>72</v>
      </c>
      <c r="B204" s="4">
        <v>45717.0</v>
      </c>
      <c r="C204" s="3" t="s">
        <v>15</v>
      </c>
      <c r="D204" s="3" t="s">
        <v>21</v>
      </c>
      <c r="E204" s="3">
        <v>35203.23</v>
      </c>
      <c r="F204" s="3">
        <v>6896.0</v>
      </c>
      <c r="G204" s="3">
        <v>0.032</v>
      </c>
      <c r="H204" s="3">
        <v>14.0</v>
      </c>
      <c r="I204" s="3">
        <v>80.8</v>
      </c>
      <c r="J204" s="3">
        <v>8.44</v>
      </c>
      <c r="K204" s="3">
        <v>1.0</v>
      </c>
      <c r="L204" s="3">
        <v>5.0</v>
      </c>
      <c r="M204" s="3">
        <v>607084.92</v>
      </c>
      <c r="N204" s="3">
        <v>98558.49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 t="s">
        <v>72</v>
      </c>
      <c r="B205" s="4">
        <v>45748.0</v>
      </c>
      <c r="C205" s="3" t="s">
        <v>15</v>
      </c>
      <c r="D205" s="3" t="s">
        <v>21</v>
      </c>
      <c r="E205" s="3">
        <v>64104.28</v>
      </c>
      <c r="F205" s="3">
        <v>6015.0</v>
      </c>
      <c r="G205" s="3">
        <v>0.127</v>
      </c>
      <c r="H205" s="3">
        <v>15.0</v>
      </c>
      <c r="I205" s="3">
        <v>88.7</v>
      </c>
      <c r="J205" s="3">
        <v>0.78</v>
      </c>
      <c r="K205" s="3">
        <v>0.0</v>
      </c>
      <c r="L205" s="3">
        <v>4.0</v>
      </c>
      <c r="M205" s="3">
        <v>650795.49</v>
      </c>
      <c r="N205" s="3">
        <v>103035.89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 t="s">
        <v>73</v>
      </c>
      <c r="B206" s="4">
        <v>45658.0</v>
      </c>
      <c r="C206" s="3" t="s">
        <v>15</v>
      </c>
      <c r="D206" s="3" t="s">
        <v>28</v>
      </c>
      <c r="E206" s="3">
        <v>92090.14</v>
      </c>
      <c r="F206" s="3">
        <v>9476.0</v>
      </c>
      <c r="G206" s="3">
        <v>0.07</v>
      </c>
      <c r="H206" s="3">
        <v>24.0</v>
      </c>
      <c r="I206" s="3">
        <v>94.3</v>
      </c>
      <c r="J206" s="3">
        <v>0.87</v>
      </c>
      <c r="K206" s="3">
        <v>0.0</v>
      </c>
      <c r="L206" s="3">
        <v>3.7</v>
      </c>
      <c r="M206" s="3">
        <v>825060.52</v>
      </c>
      <c r="N206" s="3">
        <v>143613.15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 t="s">
        <v>73</v>
      </c>
      <c r="B207" s="4">
        <v>45689.0</v>
      </c>
      <c r="C207" s="3" t="s">
        <v>15</v>
      </c>
      <c r="D207" s="3" t="s">
        <v>28</v>
      </c>
      <c r="E207" s="3">
        <v>54300.87</v>
      </c>
      <c r="F207" s="3">
        <v>7875.0</v>
      </c>
      <c r="G207" s="3">
        <v>0.107</v>
      </c>
      <c r="H207" s="3">
        <v>19.0</v>
      </c>
      <c r="I207" s="3">
        <v>94.1</v>
      </c>
      <c r="J207" s="3">
        <v>0.95</v>
      </c>
      <c r="K207" s="3">
        <v>0.0</v>
      </c>
      <c r="L207" s="3">
        <v>3.7</v>
      </c>
      <c r="M207" s="3">
        <v>795464.47</v>
      </c>
      <c r="N207" s="3">
        <v>161150.52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 t="s">
        <v>73</v>
      </c>
      <c r="B208" s="4">
        <v>45717.0</v>
      </c>
      <c r="C208" s="3" t="s">
        <v>15</v>
      </c>
      <c r="D208" s="3" t="s">
        <v>28</v>
      </c>
      <c r="E208" s="3">
        <v>37983.35</v>
      </c>
      <c r="F208" s="3">
        <v>9283.0</v>
      </c>
      <c r="G208" s="3">
        <v>0.149</v>
      </c>
      <c r="H208" s="3">
        <v>19.0</v>
      </c>
      <c r="I208" s="3">
        <v>83.2</v>
      </c>
      <c r="J208" s="3">
        <v>3.82</v>
      </c>
      <c r="K208" s="3">
        <v>0.0</v>
      </c>
      <c r="L208" s="3">
        <v>3.7</v>
      </c>
      <c r="M208" s="3">
        <v>671868.59</v>
      </c>
      <c r="N208" s="3">
        <v>71003.28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 t="s">
        <v>73</v>
      </c>
      <c r="B209" s="4">
        <v>45748.0</v>
      </c>
      <c r="C209" s="3" t="s">
        <v>15</v>
      </c>
      <c r="D209" s="3" t="s">
        <v>28</v>
      </c>
      <c r="E209" s="3">
        <v>56413.83</v>
      </c>
      <c r="F209" s="3">
        <v>8303.0</v>
      </c>
      <c r="G209" s="3">
        <v>0.116</v>
      </c>
      <c r="H209" s="3">
        <v>18.0</v>
      </c>
      <c r="I209" s="3">
        <v>93.6</v>
      </c>
      <c r="J209" s="3">
        <v>2.7</v>
      </c>
      <c r="K209" s="3">
        <v>0.0</v>
      </c>
      <c r="L209" s="3">
        <v>3.7</v>
      </c>
      <c r="M209" s="3">
        <v>675917.63</v>
      </c>
      <c r="N209" s="3">
        <v>112564.75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 t="s">
        <v>74</v>
      </c>
      <c r="B210" s="4">
        <v>45658.0</v>
      </c>
      <c r="C210" s="3" t="s">
        <v>15</v>
      </c>
      <c r="D210" s="3" t="s">
        <v>18</v>
      </c>
      <c r="E210" s="3">
        <v>63457.19</v>
      </c>
      <c r="F210" s="3">
        <v>10125.0</v>
      </c>
      <c r="G210" s="3">
        <v>0.097</v>
      </c>
      <c r="H210" s="3">
        <v>24.0</v>
      </c>
      <c r="I210" s="3">
        <v>87.0</v>
      </c>
      <c r="J210" s="3">
        <v>3.84</v>
      </c>
      <c r="K210" s="3">
        <v>1.0</v>
      </c>
      <c r="L210" s="3">
        <v>3.7</v>
      </c>
      <c r="M210" s="3">
        <v>810446.53</v>
      </c>
      <c r="N210" s="3">
        <v>200575.34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 t="s">
        <v>74</v>
      </c>
      <c r="B211" s="4">
        <v>45689.0</v>
      </c>
      <c r="C211" s="3" t="s">
        <v>15</v>
      </c>
      <c r="D211" s="3" t="s">
        <v>18</v>
      </c>
      <c r="E211" s="3">
        <v>62949.7</v>
      </c>
      <c r="F211" s="3">
        <v>9458.0</v>
      </c>
      <c r="G211" s="3">
        <v>0.171</v>
      </c>
      <c r="H211" s="3">
        <v>19.0</v>
      </c>
      <c r="I211" s="3">
        <v>84.9</v>
      </c>
      <c r="J211" s="3">
        <v>5.09</v>
      </c>
      <c r="K211" s="3">
        <v>0.0</v>
      </c>
      <c r="L211" s="3">
        <v>3.3</v>
      </c>
      <c r="M211" s="3">
        <v>691288.19</v>
      </c>
      <c r="N211" s="3">
        <v>159074.14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 t="s">
        <v>74</v>
      </c>
      <c r="B212" s="4">
        <v>45717.0</v>
      </c>
      <c r="C212" s="3" t="s">
        <v>15</v>
      </c>
      <c r="D212" s="3" t="s">
        <v>18</v>
      </c>
      <c r="E212" s="3">
        <v>107970.19</v>
      </c>
      <c r="F212" s="3">
        <v>12870.0</v>
      </c>
      <c r="G212" s="3">
        <v>0.029</v>
      </c>
      <c r="H212" s="3">
        <v>31.0</v>
      </c>
      <c r="I212" s="3">
        <v>91.7</v>
      </c>
      <c r="J212" s="3">
        <v>3.82</v>
      </c>
      <c r="K212" s="3">
        <v>1.0</v>
      </c>
      <c r="L212" s="3">
        <v>3.7</v>
      </c>
      <c r="M212" s="3">
        <v>946833.54</v>
      </c>
      <c r="N212" s="3">
        <v>184540.31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 t="s">
        <v>74</v>
      </c>
      <c r="B213" s="4">
        <v>45748.0</v>
      </c>
      <c r="C213" s="3" t="s">
        <v>15</v>
      </c>
      <c r="D213" s="3" t="s">
        <v>18</v>
      </c>
      <c r="E213" s="3">
        <v>49405.75</v>
      </c>
      <c r="F213" s="3">
        <v>9752.0</v>
      </c>
      <c r="G213" s="3">
        <v>0.093</v>
      </c>
      <c r="H213" s="3">
        <v>21.0</v>
      </c>
      <c r="I213" s="3">
        <v>87.0</v>
      </c>
      <c r="J213" s="3">
        <v>12.28</v>
      </c>
      <c r="K213" s="3">
        <v>0.0</v>
      </c>
      <c r="L213" s="3">
        <v>4.1</v>
      </c>
      <c r="M213" s="3">
        <v>761963.23</v>
      </c>
      <c r="N213" s="3">
        <v>150113.61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 t="s">
        <v>75</v>
      </c>
      <c r="B214" s="4">
        <v>45658.0</v>
      </c>
      <c r="C214" s="3" t="s">
        <v>27</v>
      </c>
      <c r="D214" s="3" t="s">
        <v>16</v>
      </c>
      <c r="E214" s="3">
        <v>50887.46</v>
      </c>
      <c r="F214" s="3">
        <v>9505.0</v>
      </c>
      <c r="G214" s="3">
        <v>0.091</v>
      </c>
      <c r="H214" s="3">
        <v>25.0</v>
      </c>
      <c r="I214" s="3">
        <v>89.7</v>
      </c>
      <c r="J214" s="3">
        <v>2.8</v>
      </c>
      <c r="K214" s="3">
        <v>0.0</v>
      </c>
      <c r="L214" s="3">
        <v>4.3</v>
      </c>
      <c r="M214" s="3">
        <v>812152.6</v>
      </c>
      <c r="N214" s="3">
        <v>138419.43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 t="s">
        <v>75</v>
      </c>
      <c r="B215" s="4">
        <v>45689.0</v>
      </c>
      <c r="C215" s="3" t="s">
        <v>27</v>
      </c>
      <c r="D215" s="3" t="s">
        <v>16</v>
      </c>
      <c r="E215" s="3">
        <v>41819.45</v>
      </c>
      <c r="F215" s="3">
        <v>9412.0</v>
      </c>
      <c r="G215" s="3">
        <v>0.15</v>
      </c>
      <c r="H215" s="3">
        <v>22.0</v>
      </c>
      <c r="I215" s="3">
        <v>91.0</v>
      </c>
      <c r="J215" s="3">
        <v>3.67</v>
      </c>
      <c r="K215" s="3">
        <v>0.0</v>
      </c>
      <c r="L215" s="3">
        <v>4.2</v>
      </c>
      <c r="M215" s="3">
        <v>804975.5</v>
      </c>
      <c r="N215" s="3">
        <v>140054.5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 t="s">
        <v>75</v>
      </c>
      <c r="B216" s="4">
        <v>45717.0</v>
      </c>
      <c r="C216" s="3" t="s">
        <v>27</v>
      </c>
      <c r="D216" s="3" t="s">
        <v>16</v>
      </c>
      <c r="E216" s="3">
        <v>35296.54</v>
      </c>
      <c r="F216" s="3">
        <v>9644.0</v>
      </c>
      <c r="G216" s="3">
        <v>0.0</v>
      </c>
      <c r="H216" s="3">
        <v>22.0</v>
      </c>
      <c r="I216" s="3">
        <v>88.0</v>
      </c>
      <c r="J216" s="3">
        <v>2.81</v>
      </c>
      <c r="K216" s="3">
        <v>0.0</v>
      </c>
      <c r="L216" s="3">
        <v>4.7</v>
      </c>
      <c r="M216" s="3">
        <v>752321.72</v>
      </c>
      <c r="N216" s="3">
        <v>137788.51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 t="s">
        <v>75</v>
      </c>
      <c r="B217" s="4">
        <v>45748.0</v>
      </c>
      <c r="C217" s="3" t="s">
        <v>27</v>
      </c>
      <c r="D217" s="3" t="s">
        <v>16</v>
      </c>
      <c r="E217" s="3">
        <v>47391.09</v>
      </c>
      <c r="F217" s="3">
        <v>11224.0</v>
      </c>
      <c r="G217" s="3">
        <v>0.147</v>
      </c>
      <c r="H217" s="3">
        <v>25.0</v>
      </c>
      <c r="I217" s="3">
        <v>88.4</v>
      </c>
      <c r="J217" s="3">
        <v>2.44</v>
      </c>
      <c r="K217" s="3">
        <v>0.0</v>
      </c>
      <c r="L217" s="3">
        <v>4.9</v>
      </c>
      <c r="M217" s="3">
        <v>836908.24</v>
      </c>
      <c r="N217" s="3">
        <v>141090.26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 t="s">
        <v>76</v>
      </c>
      <c r="B218" s="4">
        <v>45658.0</v>
      </c>
      <c r="C218" s="3" t="s">
        <v>20</v>
      </c>
      <c r="D218" s="3" t="s">
        <v>21</v>
      </c>
      <c r="E218" s="3">
        <v>69180.54</v>
      </c>
      <c r="F218" s="3">
        <v>5394.0</v>
      </c>
      <c r="G218" s="3">
        <v>0.126</v>
      </c>
      <c r="H218" s="3">
        <v>12.0</v>
      </c>
      <c r="I218" s="3">
        <v>82.9</v>
      </c>
      <c r="J218" s="3">
        <v>3.27</v>
      </c>
      <c r="K218" s="3">
        <v>0.0</v>
      </c>
      <c r="L218" s="3">
        <v>3.3</v>
      </c>
      <c r="M218" s="3">
        <v>674289.1</v>
      </c>
      <c r="N218" s="3">
        <v>117773.79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 t="s">
        <v>76</v>
      </c>
      <c r="B219" s="4">
        <v>45689.0</v>
      </c>
      <c r="C219" s="3" t="s">
        <v>20</v>
      </c>
      <c r="D219" s="3" t="s">
        <v>21</v>
      </c>
      <c r="E219" s="3">
        <v>33987.33</v>
      </c>
      <c r="F219" s="3">
        <v>5014.0</v>
      </c>
      <c r="G219" s="3">
        <v>0.246</v>
      </c>
      <c r="H219" s="3">
        <v>17.0</v>
      </c>
      <c r="I219" s="3">
        <v>94.3</v>
      </c>
      <c r="J219" s="3">
        <v>10.34</v>
      </c>
      <c r="K219" s="3">
        <v>0.0</v>
      </c>
      <c r="L219" s="3">
        <v>3.9</v>
      </c>
      <c r="M219" s="3">
        <v>622892.42</v>
      </c>
      <c r="N219" s="3">
        <v>101032.52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 t="s">
        <v>76</v>
      </c>
      <c r="B220" s="4">
        <v>45717.0</v>
      </c>
      <c r="C220" s="3" t="s">
        <v>20</v>
      </c>
      <c r="D220" s="3" t="s">
        <v>21</v>
      </c>
      <c r="E220" s="3">
        <v>58785.33</v>
      </c>
      <c r="F220" s="3">
        <v>4467.0</v>
      </c>
      <c r="G220" s="3">
        <v>0.229</v>
      </c>
      <c r="H220" s="3">
        <v>14.0</v>
      </c>
      <c r="I220" s="3">
        <v>90.7</v>
      </c>
      <c r="J220" s="3">
        <v>1.92</v>
      </c>
      <c r="K220" s="3">
        <v>0.0</v>
      </c>
      <c r="L220" s="3">
        <v>3.7</v>
      </c>
      <c r="M220" s="3">
        <v>673348.56</v>
      </c>
      <c r="N220" s="3">
        <v>69464.59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 t="s">
        <v>76</v>
      </c>
      <c r="B221" s="4">
        <v>45748.0</v>
      </c>
      <c r="C221" s="3" t="s">
        <v>20</v>
      </c>
      <c r="D221" s="3" t="s">
        <v>21</v>
      </c>
      <c r="E221" s="3">
        <v>16451.85</v>
      </c>
      <c r="F221" s="3">
        <v>4678.0</v>
      </c>
      <c r="G221" s="3">
        <v>0.133</v>
      </c>
      <c r="H221" s="3">
        <v>11.0</v>
      </c>
      <c r="I221" s="3">
        <v>95.9</v>
      </c>
      <c r="J221" s="3">
        <v>3.1</v>
      </c>
      <c r="K221" s="3">
        <v>0.0</v>
      </c>
      <c r="L221" s="3">
        <v>3.9</v>
      </c>
      <c r="M221" s="3">
        <v>606278.3</v>
      </c>
      <c r="N221" s="3">
        <v>102213.26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 t="s">
        <v>77</v>
      </c>
      <c r="B222" s="4">
        <v>45658.0</v>
      </c>
      <c r="C222" s="3" t="s">
        <v>15</v>
      </c>
      <c r="D222" s="3" t="s">
        <v>18</v>
      </c>
      <c r="E222" s="3">
        <v>53367.73</v>
      </c>
      <c r="F222" s="3">
        <v>7291.0</v>
      </c>
      <c r="G222" s="3">
        <v>0.146</v>
      </c>
      <c r="H222" s="3">
        <v>18.0</v>
      </c>
      <c r="I222" s="3">
        <v>90.6</v>
      </c>
      <c r="J222" s="3">
        <v>6.34</v>
      </c>
      <c r="K222" s="3">
        <v>1.0</v>
      </c>
      <c r="L222" s="3">
        <v>3.8</v>
      </c>
      <c r="M222" s="3">
        <v>712219.81</v>
      </c>
      <c r="N222" s="3">
        <v>85906.54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 t="s">
        <v>77</v>
      </c>
      <c r="B223" s="4">
        <v>45689.0</v>
      </c>
      <c r="C223" s="3" t="s">
        <v>15</v>
      </c>
      <c r="D223" s="3" t="s">
        <v>18</v>
      </c>
      <c r="E223" s="3">
        <v>27194.64</v>
      </c>
      <c r="F223" s="3">
        <v>7404.0</v>
      </c>
      <c r="G223" s="3">
        <v>0.088</v>
      </c>
      <c r="H223" s="3">
        <v>18.0</v>
      </c>
      <c r="I223" s="3">
        <v>90.2</v>
      </c>
      <c r="J223" s="3">
        <v>1.2</v>
      </c>
      <c r="K223" s="3">
        <v>0.0</v>
      </c>
      <c r="L223" s="3">
        <v>3.4</v>
      </c>
      <c r="M223" s="3">
        <v>672670.54</v>
      </c>
      <c r="N223" s="3">
        <v>132684.18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 t="s">
        <v>77</v>
      </c>
      <c r="B224" s="4">
        <v>45717.0</v>
      </c>
      <c r="C224" s="3" t="s">
        <v>15</v>
      </c>
      <c r="D224" s="3" t="s">
        <v>18</v>
      </c>
      <c r="E224" s="3">
        <v>66962.74</v>
      </c>
      <c r="F224" s="3">
        <v>7880.0</v>
      </c>
      <c r="G224" s="3">
        <v>0.116</v>
      </c>
      <c r="H224" s="3">
        <v>19.0</v>
      </c>
      <c r="I224" s="3">
        <v>90.4</v>
      </c>
      <c r="J224" s="3">
        <v>4.5</v>
      </c>
      <c r="K224" s="3">
        <v>0.0</v>
      </c>
      <c r="L224" s="3">
        <v>3.3</v>
      </c>
      <c r="M224" s="3">
        <v>732667.92</v>
      </c>
      <c r="N224" s="3">
        <v>128654.46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 t="s">
        <v>77</v>
      </c>
      <c r="B225" s="4">
        <v>45748.0</v>
      </c>
      <c r="C225" s="3" t="s">
        <v>15</v>
      </c>
      <c r="D225" s="3" t="s">
        <v>18</v>
      </c>
      <c r="E225" s="3">
        <v>73540.99</v>
      </c>
      <c r="F225" s="3">
        <v>8773.0</v>
      </c>
      <c r="G225" s="3">
        <v>0.035</v>
      </c>
      <c r="H225" s="3">
        <v>21.0</v>
      </c>
      <c r="I225" s="3">
        <v>84.4</v>
      </c>
      <c r="J225" s="3">
        <v>6.68</v>
      </c>
      <c r="K225" s="3">
        <v>0.0</v>
      </c>
      <c r="L225" s="3">
        <v>3.6</v>
      </c>
      <c r="M225" s="3">
        <v>723531.4</v>
      </c>
      <c r="N225" s="3">
        <v>108794.85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 t="s">
        <v>78</v>
      </c>
      <c r="B226" s="4">
        <v>45658.0</v>
      </c>
      <c r="C226" s="3" t="s">
        <v>15</v>
      </c>
      <c r="D226" s="3" t="s">
        <v>28</v>
      </c>
      <c r="E226" s="3">
        <v>68212.29</v>
      </c>
      <c r="F226" s="3">
        <v>4713.0</v>
      </c>
      <c r="G226" s="3">
        <v>0.198</v>
      </c>
      <c r="H226" s="3">
        <v>15.0</v>
      </c>
      <c r="I226" s="3">
        <v>82.6</v>
      </c>
      <c r="J226" s="3">
        <v>4.07</v>
      </c>
      <c r="K226" s="3">
        <v>1.0</v>
      </c>
      <c r="L226" s="3">
        <v>3.0</v>
      </c>
      <c r="M226" s="3">
        <v>641564.6</v>
      </c>
      <c r="N226" s="3">
        <v>90468.96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 t="s">
        <v>78</v>
      </c>
      <c r="B227" s="4">
        <v>45689.0</v>
      </c>
      <c r="C227" s="3" t="s">
        <v>15</v>
      </c>
      <c r="D227" s="3" t="s">
        <v>28</v>
      </c>
      <c r="E227" s="3">
        <v>57225.98</v>
      </c>
      <c r="F227" s="3">
        <v>2842.0</v>
      </c>
      <c r="G227" s="3">
        <v>0.112</v>
      </c>
      <c r="H227" s="3">
        <v>10.0</v>
      </c>
      <c r="I227" s="3">
        <v>79.5</v>
      </c>
      <c r="J227" s="3">
        <v>5.45</v>
      </c>
      <c r="K227" s="3">
        <v>0.0</v>
      </c>
      <c r="L227" s="3">
        <v>3.4</v>
      </c>
      <c r="M227" s="3">
        <v>536545.49</v>
      </c>
      <c r="N227" s="3">
        <v>97917.45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 t="s">
        <v>78</v>
      </c>
      <c r="B228" s="4">
        <v>45717.0</v>
      </c>
      <c r="C228" s="3" t="s">
        <v>15</v>
      </c>
      <c r="D228" s="3" t="s">
        <v>28</v>
      </c>
      <c r="E228" s="3">
        <v>42932.02</v>
      </c>
      <c r="F228" s="3">
        <v>3872.0</v>
      </c>
      <c r="G228" s="3">
        <v>0.171</v>
      </c>
      <c r="H228" s="3">
        <v>12.0</v>
      </c>
      <c r="I228" s="3">
        <v>83.2</v>
      </c>
      <c r="J228" s="3">
        <v>15.58</v>
      </c>
      <c r="K228" s="3">
        <v>0.0</v>
      </c>
      <c r="L228" s="3">
        <v>3.3</v>
      </c>
      <c r="M228" s="3">
        <v>527681.56</v>
      </c>
      <c r="N228" s="3">
        <v>63153.05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 t="s">
        <v>78</v>
      </c>
      <c r="B229" s="4">
        <v>45748.0</v>
      </c>
      <c r="C229" s="3" t="s">
        <v>15</v>
      </c>
      <c r="D229" s="3" t="s">
        <v>28</v>
      </c>
      <c r="E229" s="3">
        <v>39341.45</v>
      </c>
      <c r="F229" s="3">
        <v>1375.0</v>
      </c>
      <c r="G229" s="3">
        <v>0.093</v>
      </c>
      <c r="H229" s="3">
        <v>5.0</v>
      </c>
      <c r="I229" s="3">
        <v>95.0</v>
      </c>
      <c r="J229" s="3">
        <v>5.32</v>
      </c>
      <c r="K229" s="3">
        <v>0.0</v>
      </c>
      <c r="L229" s="5"/>
      <c r="M229" s="3">
        <v>529598.94</v>
      </c>
      <c r="N229" s="3">
        <v>84334.33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 t="s">
        <v>79</v>
      </c>
      <c r="B230" s="4">
        <v>45658.0</v>
      </c>
      <c r="C230" s="3" t="s">
        <v>15</v>
      </c>
      <c r="D230" s="3" t="s">
        <v>18</v>
      </c>
      <c r="E230" s="3">
        <v>37324.23</v>
      </c>
      <c r="F230" s="3">
        <v>5957.0</v>
      </c>
      <c r="G230" s="3">
        <v>0.071</v>
      </c>
      <c r="H230" s="3">
        <v>12.0</v>
      </c>
      <c r="I230" s="3">
        <v>85.9</v>
      </c>
      <c r="J230" s="3">
        <v>0.37</v>
      </c>
      <c r="K230" s="3">
        <v>0.0</v>
      </c>
      <c r="L230" s="3">
        <v>3.8</v>
      </c>
      <c r="M230" s="3">
        <v>570963.31</v>
      </c>
      <c r="N230" s="3">
        <v>87342.25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 t="s">
        <v>79</v>
      </c>
      <c r="B231" s="4">
        <v>45689.0</v>
      </c>
      <c r="C231" s="3" t="s">
        <v>15</v>
      </c>
      <c r="D231" s="3" t="s">
        <v>18</v>
      </c>
      <c r="E231" s="3">
        <v>113736.0</v>
      </c>
      <c r="F231" s="3">
        <v>8961.0</v>
      </c>
      <c r="G231" s="3">
        <v>0.202</v>
      </c>
      <c r="H231" s="3">
        <v>24.0</v>
      </c>
      <c r="I231" s="3">
        <v>86.2</v>
      </c>
      <c r="J231" s="3">
        <v>21.63</v>
      </c>
      <c r="K231" s="3">
        <v>0.0</v>
      </c>
      <c r="L231" s="3">
        <v>4.0</v>
      </c>
      <c r="M231" s="3">
        <v>870937.4</v>
      </c>
      <c r="N231" s="3">
        <v>175282.74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 t="s">
        <v>79</v>
      </c>
      <c r="B232" s="4">
        <v>45717.0</v>
      </c>
      <c r="C232" s="3" t="s">
        <v>15</v>
      </c>
      <c r="D232" s="3" t="s">
        <v>18</v>
      </c>
      <c r="E232" s="3">
        <v>33173.95</v>
      </c>
      <c r="F232" s="3">
        <v>6545.0</v>
      </c>
      <c r="G232" s="3">
        <v>0.169</v>
      </c>
      <c r="H232" s="3">
        <v>15.0</v>
      </c>
      <c r="I232" s="3">
        <v>84.4</v>
      </c>
      <c r="J232" s="3">
        <v>2.48</v>
      </c>
      <c r="K232" s="3">
        <v>0.0</v>
      </c>
      <c r="L232" s="3">
        <v>3.9</v>
      </c>
      <c r="M232" s="3">
        <v>596969.27</v>
      </c>
      <c r="N232" s="3">
        <v>105669.51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 t="s">
        <v>79</v>
      </c>
      <c r="B233" s="4">
        <v>45748.0</v>
      </c>
      <c r="C233" s="3" t="s">
        <v>15</v>
      </c>
      <c r="D233" s="3" t="s">
        <v>18</v>
      </c>
      <c r="E233" s="3">
        <v>25818.08</v>
      </c>
      <c r="F233" s="3">
        <v>5457.0</v>
      </c>
      <c r="G233" s="3">
        <v>0.0</v>
      </c>
      <c r="H233" s="3">
        <v>11.0</v>
      </c>
      <c r="I233" s="3">
        <v>95.4</v>
      </c>
      <c r="J233" s="5"/>
      <c r="K233" s="3">
        <v>0.0</v>
      </c>
      <c r="L233" s="3">
        <v>3.7</v>
      </c>
      <c r="M233" s="3">
        <v>647512.85</v>
      </c>
      <c r="N233" s="3">
        <v>153835.57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 t="s">
        <v>80</v>
      </c>
      <c r="B234" s="4">
        <v>45658.0</v>
      </c>
      <c r="C234" s="3" t="s">
        <v>27</v>
      </c>
      <c r="D234" s="3" t="s">
        <v>16</v>
      </c>
      <c r="E234" s="3">
        <v>47241.92</v>
      </c>
      <c r="F234" s="3">
        <v>4264.0</v>
      </c>
      <c r="G234" s="3">
        <v>0.069</v>
      </c>
      <c r="H234" s="3">
        <v>13.0</v>
      </c>
      <c r="I234" s="3">
        <v>95.3</v>
      </c>
      <c r="J234" s="3">
        <v>0.85</v>
      </c>
      <c r="K234" s="3">
        <v>0.0</v>
      </c>
      <c r="L234" s="3">
        <v>4.3</v>
      </c>
      <c r="M234" s="3">
        <v>658072.14</v>
      </c>
      <c r="N234" s="3">
        <v>110595.89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 t="s">
        <v>80</v>
      </c>
      <c r="B235" s="4">
        <v>45689.0</v>
      </c>
      <c r="C235" s="3" t="s">
        <v>27</v>
      </c>
      <c r="D235" s="3" t="s">
        <v>16</v>
      </c>
      <c r="E235" s="3">
        <v>61650.79</v>
      </c>
      <c r="F235" s="3">
        <v>5321.0</v>
      </c>
      <c r="G235" s="3">
        <v>0.126</v>
      </c>
      <c r="H235" s="3">
        <v>17.0</v>
      </c>
      <c r="I235" s="3">
        <v>89.2</v>
      </c>
      <c r="J235" s="3">
        <v>2.13</v>
      </c>
      <c r="K235" s="3">
        <v>0.0</v>
      </c>
      <c r="L235" s="3">
        <v>4.0</v>
      </c>
      <c r="M235" s="3">
        <v>723305.11</v>
      </c>
      <c r="N235" s="3">
        <v>128468.7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 t="s">
        <v>80</v>
      </c>
      <c r="B236" s="4">
        <v>45717.0</v>
      </c>
      <c r="C236" s="3" t="s">
        <v>27</v>
      </c>
      <c r="D236" s="3" t="s">
        <v>16</v>
      </c>
      <c r="E236" s="3">
        <v>62582.71</v>
      </c>
      <c r="F236" s="3">
        <v>5479.0</v>
      </c>
      <c r="G236" s="3">
        <v>0.048</v>
      </c>
      <c r="H236" s="3">
        <v>16.0</v>
      </c>
      <c r="I236" s="3">
        <v>81.2</v>
      </c>
      <c r="J236" s="3">
        <v>1.46</v>
      </c>
      <c r="K236" s="3">
        <v>0.0</v>
      </c>
      <c r="L236" s="3">
        <v>4.5</v>
      </c>
      <c r="M236" s="3">
        <v>640666.53</v>
      </c>
      <c r="N236" s="3">
        <v>134919.16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 t="s">
        <v>80</v>
      </c>
      <c r="B237" s="4">
        <v>45748.0</v>
      </c>
      <c r="C237" s="3" t="s">
        <v>27</v>
      </c>
      <c r="D237" s="3" t="s">
        <v>16</v>
      </c>
      <c r="E237" s="3">
        <v>47944.14</v>
      </c>
      <c r="F237" s="3">
        <v>6169.0</v>
      </c>
      <c r="G237" s="3">
        <v>0.119</v>
      </c>
      <c r="H237" s="3">
        <v>17.0</v>
      </c>
      <c r="I237" s="3">
        <v>92.2</v>
      </c>
      <c r="J237" s="3">
        <v>3.02</v>
      </c>
      <c r="K237" s="3">
        <v>0.0</v>
      </c>
      <c r="L237" s="3">
        <v>4.1</v>
      </c>
      <c r="M237" s="3">
        <v>670629.48</v>
      </c>
      <c r="N237" s="3">
        <v>100140.8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 t="s">
        <v>81</v>
      </c>
      <c r="B238" s="4">
        <v>45658.0</v>
      </c>
      <c r="C238" s="3" t="s">
        <v>27</v>
      </c>
      <c r="D238" s="3" t="s">
        <v>28</v>
      </c>
      <c r="E238" s="3">
        <v>46495.4</v>
      </c>
      <c r="F238" s="3">
        <v>9908.0</v>
      </c>
      <c r="G238" s="3">
        <v>0.121</v>
      </c>
      <c r="H238" s="3">
        <v>22.0</v>
      </c>
      <c r="I238" s="3">
        <v>89.4</v>
      </c>
      <c r="J238" s="3">
        <v>3.22</v>
      </c>
      <c r="K238" s="3">
        <v>0.0</v>
      </c>
      <c r="L238" s="3">
        <v>3.7</v>
      </c>
      <c r="M238" s="3">
        <v>721079.35</v>
      </c>
      <c r="N238" s="3">
        <v>115295.05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 t="s">
        <v>81</v>
      </c>
      <c r="B239" s="4">
        <v>45689.0</v>
      </c>
      <c r="C239" s="3" t="s">
        <v>27</v>
      </c>
      <c r="D239" s="3" t="s">
        <v>28</v>
      </c>
      <c r="E239" s="3">
        <v>72961.95</v>
      </c>
      <c r="F239" s="3">
        <v>9996.0</v>
      </c>
      <c r="G239" s="3">
        <v>0.106</v>
      </c>
      <c r="H239" s="3">
        <v>22.0</v>
      </c>
      <c r="I239" s="3">
        <v>89.1</v>
      </c>
      <c r="J239" s="3">
        <v>15.66</v>
      </c>
      <c r="K239" s="3">
        <v>0.0</v>
      </c>
      <c r="L239" s="3">
        <v>3.4</v>
      </c>
      <c r="M239" s="3">
        <v>810355.02</v>
      </c>
      <c r="N239" s="3">
        <v>131510.0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 t="s">
        <v>81</v>
      </c>
      <c r="B240" s="4">
        <v>45717.0</v>
      </c>
      <c r="C240" s="3" t="s">
        <v>27</v>
      </c>
      <c r="D240" s="3" t="s">
        <v>28</v>
      </c>
      <c r="E240" s="3">
        <v>59060.05</v>
      </c>
      <c r="F240" s="3">
        <v>9702.0</v>
      </c>
      <c r="G240" s="3">
        <v>0.201</v>
      </c>
      <c r="H240" s="3">
        <v>23.0</v>
      </c>
      <c r="I240" s="3">
        <v>80.9</v>
      </c>
      <c r="J240" s="3">
        <v>6.96</v>
      </c>
      <c r="K240" s="3">
        <v>0.0</v>
      </c>
      <c r="L240" s="3">
        <v>3.2</v>
      </c>
      <c r="M240" s="3">
        <v>761919.25</v>
      </c>
      <c r="N240" s="3">
        <v>111893.06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 t="s">
        <v>81</v>
      </c>
      <c r="B241" s="4">
        <v>45748.0</v>
      </c>
      <c r="C241" s="3" t="s">
        <v>27</v>
      </c>
      <c r="D241" s="3" t="s">
        <v>28</v>
      </c>
      <c r="E241" s="3">
        <v>26248.1</v>
      </c>
      <c r="F241" s="3">
        <v>9314.0</v>
      </c>
      <c r="G241" s="3">
        <v>0.186</v>
      </c>
      <c r="H241" s="3">
        <v>21.0</v>
      </c>
      <c r="I241" s="3">
        <v>83.7</v>
      </c>
      <c r="J241" s="3">
        <v>4.62</v>
      </c>
      <c r="K241" s="3">
        <v>0.0</v>
      </c>
      <c r="L241" s="3">
        <v>3.3</v>
      </c>
      <c r="M241" s="3">
        <v>737070.18</v>
      </c>
      <c r="N241" s="3">
        <v>117593.97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 t="s">
        <v>82</v>
      </c>
      <c r="B242" s="4">
        <v>45658.0</v>
      </c>
      <c r="C242" s="3" t="s">
        <v>24</v>
      </c>
      <c r="D242" s="3" t="s">
        <v>21</v>
      </c>
      <c r="E242" s="3">
        <v>69900.12</v>
      </c>
      <c r="F242" s="3">
        <v>8055.0</v>
      </c>
      <c r="G242" s="3">
        <v>0.281</v>
      </c>
      <c r="H242" s="3">
        <v>22.0</v>
      </c>
      <c r="I242" s="3">
        <v>85.6</v>
      </c>
      <c r="J242" s="3">
        <v>10.68</v>
      </c>
      <c r="K242" s="3">
        <v>1.0</v>
      </c>
      <c r="L242" s="3">
        <v>2.9</v>
      </c>
      <c r="M242" s="3">
        <v>776992.93</v>
      </c>
      <c r="N242" s="3">
        <v>101598.32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 t="s">
        <v>82</v>
      </c>
      <c r="B243" s="4">
        <v>45689.0</v>
      </c>
      <c r="C243" s="3" t="s">
        <v>24</v>
      </c>
      <c r="D243" s="3" t="s">
        <v>21</v>
      </c>
      <c r="E243" s="3">
        <v>51781.6</v>
      </c>
      <c r="F243" s="3">
        <v>5648.0</v>
      </c>
      <c r="G243" s="3">
        <v>0.059</v>
      </c>
      <c r="H243" s="3">
        <v>13.0</v>
      </c>
      <c r="I243" s="3">
        <v>85.5</v>
      </c>
      <c r="J243" s="3">
        <v>4.04</v>
      </c>
      <c r="K243" s="3">
        <v>0.0</v>
      </c>
      <c r="L243" s="3">
        <v>3.7</v>
      </c>
      <c r="M243" s="3">
        <v>676337.41</v>
      </c>
      <c r="N243" s="3">
        <v>104355.77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 t="s">
        <v>82</v>
      </c>
      <c r="B244" s="4">
        <v>45717.0</v>
      </c>
      <c r="C244" s="3" t="s">
        <v>24</v>
      </c>
      <c r="D244" s="3" t="s">
        <v>21</v>
      </c>
      <c r="E244" s="3">
        <v>70799.64</v>
      </c>
      <c r="F244" s="3">
        <v>10076.0</v>
      </c>
      <c r="G244" s="3">
        <v>0.152</v>
      </c>
      <c r="H244" s="3">
        <v>24.0</v>
      </c>
      <c r="I244" s="3">
        <v>84.8</v>
      </c>
      <c r="J244" s="3">
        <v>1.87</v>
      </c>
      <c r="K244" s="3">
        <v>0.0</v>
      </c>
      <c r="L244" s="3">
        <v>3.5</v>
      </c>
      <c r="M244" s="3">
        <v>828219.67</v>
      </c>
      <c r="N244" s="3">
        <v>179806.87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 t="s">
        <v>82</v>
      </c>
      <c r="B245" s="4">
        <v>45748.0</v>
      </c>
      <c r="C245" s="3" t="s">
        <v>24</v>
      </c>
      <c r="D245" s="3" t="s">
        <v>21</v>
      </c>
      <c r="E245" s="3">
        <v>53546.34</v>
      </c>
      <c r="F245" s="3">
        <v>8004.0</v>
      </c>
      <c r="G245" s="3">
        <v>0.0</v>
      </c>
      <c r="H245" s="3">
        <v>21.0</v>
      </c>
      <c r="I245" s="3">
        <v>95.2</v>
      </c>
      <c r="J245" s="3">
        <v>2.83</v>
      </c>
      <c r="K245" s="3">
        <v>0.0</v>
      </c>
      <c r="L245" s="3">
        <v>3.0</v>
      </c>
      <c r="M245" s="3">
        <v>763159.92</v>
      </c>
      <c r="N245" s="3">
        <v>177104.87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 t="s">
        <v>83</v>
      </c>
      <c r="B246" s="4">
        <v>45658.0</v>
      </c>
      <c r="C246" s="3" t="s">
        <v>15</v>
      </c>
      <c r="D246" s="3" t="s">
        <v>18</v>
      </c>
      <c r="E246" s="3">
        <v>76942.2</v>
      </c>
      <c r="F246" s="3">
        <v>8934.0</v>
      </c>
      <c r="G246" s="3">
        <v>0.084</v>
      </c>
      <c r="H246" s="3">
        <v>20.0</v>
      </c>
      <c r="I246" s="3">
        <v>91.0</v>
      </c>
      <c r="J246" s="3">
        <v>0.95</v>
      </c>
      <c r="K246" s="3">
        <v>0.0</v>
      </c>
      <c r="L246" s="3">
        <v>3.2</v>
      </c>
      <c r="M246" s="3">
        <v>802001.68</v>
      </c>
      <c r="N246" s="3">
        <v>159715.82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 t="s">
        <v>83</v>
      </c>
      <c r="B247" s="4">
        <v>45689.0</v>
      </c>
      <c r="C247" s="3" t="s">
        <v>15</v>
      </c>
      <c r="D247" s="3" t="s">
        <v>18</v>
      </c>
      <c r="E247" s="3">
        <v>48060.78</v>
      </c>
      <c r="F247" s="3">
        <v>8733.0</v>
      </c>
      <c r="G247" s="3">
        <v>0.0</v>
      </c>
      <c r="H247" s="3">
        <v>20.0</v>
      </c>
      <c r="I247" s="3">
        <v>89.9</v>
      </c>
      <c r="J247" s="3">
        <v>0.8</v>
      </c>
      <c r="K247" s="3">
        <v>0.0</v>
      </c>
      <c r="L247" s="3">
        <v>3.4</v>
      </c>
      <c r="M247" s="3">
        <v>750471.34</v>
      </c>
      <c r="N247" s="3">
        <v>133788.04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 t="s">
        <v>83</v>
      </c>
      <c r="B248" s="4">
        <v>45717.0</v>
      </c>
      <c r="C248" s="3" t="s">
        <v>15</v>
      </c>
      <c r="D248" s="3" t="s">
        <v>18</v>
      </c>
      <c r="E248" s="3">
        <v>57390.04</v>
      </c>
      <c r="F248" s="3">
        <v>7374.0</v>
      </c>
      <c r="G248" s="3">
        <v>0.21</v>
      </c>
      <c r="H248" s="3">
        <v>21.0</v>
      </c>
      <c r="I248" s="3">
        <v>91.8</v>
      </c>
      <c r="J248" s="3">
        <v>0.2</v>
      </c>
      <c r="K248" s="3">
        <v>0.0</v>
      </c>
      <c r="L248" s="3">
        <v>3.1</v>
      </c>
      <c r="M248" s="3">
        <v>679230.86</v>
      </c>
      <c r="N248" s="3">
        <v>106927.58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 t="s">
        <v>83</v>
      </c>
      <c r="B249" s="4">
        <v>45748.0</v>
      </c>
      <c r="C249" s="3" t="s">
        <v>15</v>
      </c>
      <c r="D249" s="3" t="s">
        <v>18</v>
      </c>
      <c r="E249" s="3">
        <v>21536.18</v>
      </c>
      <c r="F249" s="3">
        <v>8119.0</v>
      </c>
      <c r="G249" s="3">
        <v>0.227</v>
      </c>
      <c r="H249" s="3">
        <v>20.0</v>
      </c>
      <c r="I249" s="3">
        <v>90.4</v>
      </c>
      <c r="J249" s="3">
        <v>1.7</v>
      </c>
      <c r="K249" s="3">
        <v>0.0</v>
      </c>
      <c r="L249" s="3">
        <v>3.3</v>
      </c>
      <c r="M249" s="3">
        <v>679888.74</v>
      </c>
      <c r="N249" s="3">
        <v>83406.89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 t="s">
        <v>84</v>
      </c>
      <c r="B250" s="4">
        <v>45658.0</v>
      </c>
      <c r="C250" s="3" t="s">
        <v>20</v>
      </c>
      <c r="D250" s="3" t="s">
        <v>18</v>
      </c>
      <c r="E250" s="3">
        <v>40923.67</v>
      </c>
      <c r="F250" s="3">
        <v>3875.0</v>
      </c>
      <c r="G250" s="3">
        <v>0.15</v>
      </c>
      <c r="H250" s="3">
        <v>10.0</v>
      </c>
      <c r="I250" s="3">
        <v>96.1</v>
      </c>
      <c r="J250" s="5"/>
      <c r="K250" s="3">
        <v>0.0</v>
      </c>
      <c r="L250" s="3">
        <v>3.8</v>
      </c>
      <c r="M250" s="3">
        <v>606783.67</v>
      </c>
      <c r="N250" s="3">
        <v>74515.87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 t="s">
        <v>84</v>
      </c>
      <c r="B251" s="4">
        <v>45689.0</v>
      </c>
      <c r="C251" s="3" t="s">
        <v>20</v>
      </c>
      <c r="D251" s="3" t="s">
        <v>18</v>
      </c>
      <c r="E251" s="3">
        <v>72932.55</v>
      </c>
      <c r="F251" s="3">
        <v>5765.0</v>
      </c>
      <c r="G251" s="3">
        <v>0.026</v>
      </c>
      <c r="H251" s="3">
        <v>17.0</v>
      </c>
      <c r="I251" s="3">
        <v>81.8</v>
      </c>
      <c r="J251" s="3">
        <v>5.1</v>
      </c>
      <c r="K251" s="3">
        <v>0.0</v>
      </c>
      <c r="L251" s="3">
        <v>3.6</v>
      </c>
      <c r="M251" s="3">
        <v>642751.42</v>
      </c>
      <c r="N251" s="3">
        <v>131942.15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 t="s">
        <v>84</v>
      </c>
      <c r="B252" s="4">
        <v>45717.0</v>
      </c>
      <c r="C252" s="3" t="s">
        <v>20</v>
      </c>
      <c r="D252" s="3" t="s">
        <v>18</v>
      </c>
      <c r="E252" s="3">
        <v>38361.93</v>
      </c>
      <c r="F252" s="3">
        <v>6322.0</v>
      </c>
      <c r="G252" s="3">
        <v>0.273</v>
      </c>
      <c r="H252" s="3">
        <v>15.0</v>
      </c>
      <c r="I252" s="3">
        <v>88.4</v>
      </c>
      <c r="J252" s="3">
        <v>0.83</v>
      </c>
      <c r="K252" s="3">
        <v>0.0</v>
      </c>
      <c r="L252" s="3">
        <v>4.0</v>
      </c>
      <c r="M252" s="3">
        <v>647953.78</v>
      </c>
      <c r="N252" s="3">
        <v>118497.43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 t="s">
        <v>84</v>
      </c>
      <c r="B253" s="4">
        <v>45748.0</v>
      </c>
      <c r="C253" s="3" t="s">
        <v>20</v>
      </c>
      <c r="D253" s="3" t="s">
        <v>18</v>
      </c>
      <c r="E253" s="3">
        <v>97480.94</v>
      </c>
      <c r="F253" s="3">
        <v>6840.0</v>
      </c>
      <c r="G253" s="3">
        <v>0.087</v>
      </c>
      <c r="H253" s="3">
        <v>14.0</v>
      </c>
      <c r="I253" s="3">
        <v>79.2</v>
      </c>
      <c r="J253" s="3">
        <v>1.14</v>
      </c>
      <c r="K253" s="3">
        <v>0.0</v>
      </c>
      <c r="L253" s="3">
        <v>4.0</v>
      </c>
      <c r="M253" s="3">
        <v>729440.45</v>
      </c>
      <c r="N253" s="3">
        <v>87614.29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 t="s">
        <v>85</v>
      </c>
      <c r="B254" s="4">
        <v>45658.0</v>
      </c>
      <c r="C254" s="3" t="s">
        <v>24</v>
      </c>
      <c r="D254" s="3" t="s">
        <v>21</v>
      </c>
      <c r="E254" s="3">
        <v>81801.8</v>
      </c>
      <c r="F254" s="3">
        <v>6782.0</v>
      </c>
      <c r="G254" s="3">
        <v>0.05</v>
      </c>
      <c r="H254" s="3">
        <v>16.0</v>
      </c>
      <c r="I254" s="3">
        <v>99.0</v>
      </c>
      <c r="J254" s="3">
        <v>9.54</v>
      </c>
      <c r="K254" s="3">
        <v>0.0</v>
      </c>
      <c r="L254" s="3">
        <v>3.7</v>
      </c>
      <c r="M254" s="3">
        <v>764949.0</v>
      </c>
      <c r="N254" s="3">
        <v>148322.43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 t="s">
        <v>85</v>
      </c>
      <c r="B255" s="4">
        <v>45689.0</v>
      </c>
      <c r="C255" s="3" t="s">
        <v>24</v>
      </c>
      <c r="D255" s="3" t="s">
        <v>21</v>
      </c>
      <c r="E255" s="3">
        <v>63582.11</v>
      </c>
      <c r="F255" s="3">
        <v>6856.0</v>
      </c>
      <c r="G255" s="3">
        <v>0.074</v>
      </c>
      <c r="H255" s="3">
        <v>17.0</v>
      </c>
      <c r="I255" s="3">
        <v>89.5</v>
      </c>
      <c r="J255" s="3">
        <v>5.48</v>
      </c>
      <c r="K255" s="3">
        <v>0.0</v>
      </c>
      <c r="L255" s="3">
        <v>3.2</v>
      </c>
      <c r="M255" s="3">
        <v>799046.94</v>
      </c>
      <c r="N255" s="3">
        <v>144553.64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 t="s">
        <v>85</v>
      </c>
      <c r="B256" s="4">
        <v>45717.0</v>
      </c>
      <c r="C256" s="3" t="s">
        <v>24</v>
      </c>
      <c r="D256" s="3" t="s">
        <v>21</v>
      </c>
      <c r="E256" s="3">
        <v>75412.74</v>
      </c>
      <c r="F256" s="3">
        <v>5641.0</v>
      </c>
      <c r="G256" s="3">
        <v>0.059</v>
      </c>
      <c r="H256" s="3">
        <v>13.0</v>
      </c>
      <c r="I256" s="3">
        <v>87.9</v>
      </c>
      <c r="J256" s="3">
        <v>0.84</v>
      </c>
      <c r="K256" s="3">
        <v>0.0</v>
      </c>
      <c r="L256" s="3">
        <v>3.6</v>
      </c>
      <c r="M256" s="3">
        <v>720079.54</v>
      </c>
      <c r="N256" s="3">
        <v>119499.47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 t="s">
        <v>85</v>
      </c>
      <c r="B257" s="4">
        <v>45748.0</v>
      </c>
      <c r="C257" s="3" t="s">
        <v>24</v>
      </c>
      <c r="D257" s="3" t="s">
        <v>21</v>
      </c>
      <c r="E257" s="3">
        <v>36290.08</v>
      </c>
      <c r="F257" s="3">
        <v>5787.0</v>
      </c>
      <c r="G257" s="3">
        <v>0.0</v>
      </c>
      <c r="H257" s="3">
        <v>17.0</v>
      </c>
      <c r="I257" s="3">
        <v>88.3</v>
      </c>
      <c r="J257" s="3">
        <v>4.19</v>
      </c>
      <c r="K257" s="3">
        <v>0.0</v>
      </c>
      <c r="L257" s="3">
        <v>4.1</v>
      </c>
      <c r="M257" s="3">
        <v>612390.14</v>
      </c>
      <c r="N257" s="3">
        <v>108985.74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 t="s">
        <v>86</v>
      </c>
      <c r="B258" s="4">
        <v>45658.0</v>
      </c>
      <c r="C258" s="3" t="s">
        <v>24</v>
      </c>
      <c r="D258" s="3" t="s">
        <v>28</v>
      </c>
      <c r="E258" s="3">
        <v>65272.58</v>
      </c>
      <c r="F258" s="3">
        <v>8165.0</v>
      </c>
      <c r="G258" s="3">
        <v>0.051</v>
      </c>
      <c r="H258" s="3">
        <v>19.0</v>
      </c>
      <c r="I258" s="3">
        <v>87.8</v>
      </c>
      <c r="J258" s="3">
        <v>1.26</v>
      </c>
      <c r="K258" s="3">
        <v>1.0</v>
      </c>
      <c r="L258" s="3">
        <v>4.3</v>
      </c>
      <c r="M258" s="3">
        <v>840108.12</v>
      </c>
      <c r="N258" s="3">
        <v>126587.01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 t="s">
        <v>86</v>
      </c>
      <c r="B259" s="4">
        <v>45689.0</v>
      </c>
      <c r="C259" s="3" t="s">
        <v>24</v>
      </c>
      <c r="D259" s="3" t="s">
        <v>28</v>
      </c>
      <c r="E259" s="3">
        <v>28670.43</v>
      </c>
      <c r="F259" s="3">
        <v>7574.0</v>
      </c>
      <c r="G259" s="3">
        <v>0.114</v>
      </c>
      <c r="H259" s="3">
        <v>19.0</v>
      </c>
      <c r="I259" s="3">
        <v>82.7</v>
      </c>
      <c r="J259" s="3">
        <v>2.74</v>
      </c>
      <c r="K259" s="3">
        <v>0.0</v>
      </c>
      <c r="L259" s="3">
        <v>4.6</v>
      </c>
      <c r="M259" s="3">
        <v>697888.09</v>
      </c>
      <c r="N259" s="3">
        <v>116249.87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 t="s">
        <v>86</v>
      </c>
      <c r="B260" s="4">
        <v>45717.0</v>
      </c>
      <c r="C260" s="3" t="s">
        <v>24</v>
      </c>
      <c r="D260" s="3" t="s">
        <v>28</v>
      </c>
      <c r="E260" s="3">
        <v>44189.34</v>
      </c>
      <c r="F260" s="3">
        <v>8634.0</v>
      </c>
      <c r="G260" s="3">
        <v>0.143</v>
      </c>
      <c r="H260" s="3">
        <v>19.0</v>
      </c>
      <c r="I260" s="3">
        <v>87.5</v>
      </c>
      <c r="J260" s="3">
        <v>3.69</v>
      </c>
      <c r="K260" s="3">
        <v>0.0</v>
      </c>
      <c r="L260" s="3">
        <v>4.4</v>
      </c>
      <c r="M260" s="3">
        <v>746115.59</v>
      </c>
      <c r="N260" s="3">
        <v>94662.96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 t="s">
        <v>86</v>
      </c>
      <c r="B261" s="4">
        <v>45748.0</v>
      </c>
      <c r="C261" s="3" t="s">
        <v>24</v>
      </c>
      <c r="D261" s="3" t="s">
        <v>28</v>
      </c>
      <c r="E261" s="3">
        <v>38397.82</v>
      </c>
      <c r="F261" s="3">
        <v>7836.0</v>
      </c>
      <c r="G261" s="3">
        <v>0.007</v>
      </c>
      <c r="H261" s="3">
        <v>21.0</v>
      </c>
      <c r="I261" s="3">
        <v>92.2</v>
      </c>
      <c r="J261" s="3">
        <v>1.82</v>
      </c>
      <c r="K261" s="3">
        <v>0.0</v>
      </c>
      <c r="L261" s="3">
        <v>3.6</v>
      </c>
      <c r="M261" s="3">
        <v>776110.32</v>
      </c>
      <c r="N261" s="3">
        <v>139676.21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 t="s">
        <v>87</v>
      </c>
      <c r="B262" s="4">
        <v>45658.0</v>
      </c>
      <c r="C262" s="3" t="s">
        <v>27</v>
      </c>
      <c r="D262" s="3" t="s">
        <v>18</v>
      </c>
      <c r="E262" s="3">
        <v>14519.37</v>
      </c>
      <c r="F262" s="3">
        <v>3047.0</v>
      </c>
      <c r="G262" s="3">
        <v>0.135</v>
      </c>
      <c r="H262" s="3">
        <v>10.0</v>
      </c>
      <c r="I262" s="3">
        <v>90.3</v>
      </c>
      <c r="J262" s="3">
        <v>6.62</v>
      </c>
      <c r="K262" s="3">
        <v>0.0</v>
      </c>
      <c r="L262" s="3">
        <v>4.2</v>
      </c>
      <c r="M262" s="3">
        <v>528852.62</v>
      </c>
      <c r="N262" s="3">
        <v>68426.21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 t="s">
        <v>87</v>
      </c>
      <c r="B263" s="4">
        <v>45689.0</v>
      </c>
      <c r="C263" s="3" t="s">
        <v>27</v>
      </c>
      <c r="D263" s="3" t="s">
        <v>18</v>
      </c>
      <c r="E263" s="3">
        <v>43288.2</v>
      </c>
      <c r="F263" s="3">
        <v>4783.0</v>
      </c>
      <c r="G263" s="3">
        <v>0.169</v>
      </c>
      <c r="H263" s="3">
        <v>13.0</v>
      </c>
      <c r="I263" s="3">
        <v>87.3</v>
      </c>
      <c r="J263" s="5"/>
      <c r="K263" s="3">
        <v>0.0</v>
      </c>
      <c r="L263" s="3">
        <v>4.2</v>
      </c>
      <c r="M263" s="3">
        <v>605751.33</v>
      </c>
      <c r="N263" s="3">
        <v>60685.53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 t="s">
        <v>87</v>
      </c>
      <c r="B264" s="4">
        <v>45717.0</v>
      </c>
      <c r="C264" s="3" t="s">
        <v>27</v>
      </c>
      <c r="D264" s="3" t="s">
        <v>18</v>
      </c>
      <c r="E264" s="3">
        <v>51450.55</v>
      </c>
      <c r="F264" s="3">
        <v>4902.0</v>
      </c>
      <c r="G264" s="3">
        <v>0.086</v>
      </c>
      <c r="H264" s="3">
        <v>11.0</v>
      </c>
      <c r="I264" s="3">
        <v>83.7</v>
      </c>
      <c r="J264" s="3">
        <v>6.92</v>
      </c>
      <c r="K264" s="3">
        <v>1.0</v>
      </c>
      <c r="L264" s="3">
        <v>4.2</v>
      </c>
      <c r="M264" s="3">
        <v>677640.65</v>
      </c>
      <c r="N264" s="3">
        <v>111610.89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 t="s">
        <v>87</v>
      </c>
      <c r="B265" s="4">
        <v>45748.0</v>
      </c>
      <c r="C265" s="3" t="s">
        <v>27</v>
      </c>
      <c r="D265" s="3" t="s">
        <v>18</v>
      </c>
      <c r="E265" s="3">
        <v>58688.26</v>
      </c>
      <c r="F265" s="3">
        <v>4022.0</v>
      </c>
      <c r="G265" s="3">
        <v>0.217</v>
      </c>
      <c r="H265" s="3">
        <v>12.0</v>
      </c>
      <c r="I265" s="3">
        <v>93.8</v>
      </c>
      <c r="J265" s="3">
        <v>11.78</v>
      </c>
      <c r="K265" s="3">
        <v>0.0</v>
      </c>
      <c r="L265" s="3">
        <v>3.7</v>
      </c>
      <c r="M265" s="3">
        <v>636613.23</v>
      </c>
      <c r="N265" s="3">
        <v>78908.35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 t="s">
        <v>88</v>
      </c>
      <c r="B266" s="4">
        <v>45658.0</v>
      </c>
      <c r="C266" s="3" t="s">
        <v>15</v>
      </c>
      <c r="D266" s="3" t="s">
        <v>18</v>
      </c>
      <c r="E266" s="3">
        <v>58981.91</v>
      </c>
      <c r="F266" s="3">
        <v>7324.0</v>
      </c>
      <c r="G266" s="3">
        <v>0.094</v>
      </c>
      <c r="H266" s="3">
        <v>15.0</v>
      </c>
      <c r="I266" s="3">
        <v>95.8</v>
      </c>
      <c r="J266" s="3">
        <v>0.5</v>
      </c>
      <c r="K266" s="3">
        <v>0.0</v>
      </c>
      <c r="L266" s="3">
        <v>3.5</v>
      </c>
      <c r="M266" s="3">
        <v>708985.19</v>
      </c>
      <c r="N266" s="3">
        <v>125368.16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 t="s">
        <v>88</v>
      </c>
      <c r="B267" s="4">
        <v>45689.0</v>
      </c>
      <c r="C267" s="3" t="s">
        <v>15</v>
      </c>
      <c r="D267" s="3" t="s">
        <v>18</v>
      </c>
      <c r="E267" s="3">
        <v>73454.54</v>
      </c>
      <c r="F267" s="3">
        <v>8129.0</v>
      </c>
      <c r="G267" s="3">
        <v>0.211</v>
      </c>
      <c r="H267" s="3">
        <v>20.0</v>
      </c>
      <c r="I267" s="3">
        <v>85.2</v>
      </c>
      <c r="J267" s="3">
        <v>0.88</v>
      </c>
      <c r="K267" s="3">
        <v>0.0</v>
      </c>
      <c r="L267" s="3">
        <v>3.7</v>
      </c>
      <c r="M267" s="3">
        <v>767792.94</v>
      </c>
      <c r="N267" s="3">
        <v>96235.77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 t="s">
        <v>88</v>
      </c>
      <c r="B268" s="4">
        <v>45717.0</v>
      </c>
      <c r="C268" s="3" t="s">
        <v>15</v>
      </c>
      <c r="D268" s="3" t="s">
        <v>18</v>
      </c>
      <c r="E268" s="3">
        <v>56602.39</v>
      </c>
      <c r="F268" s="3">
        <v>7969.0</v>
      </c>
      <c r="G268" s="3">
        <v>0.17</v>
      </c>
      <c r="H268" s="3">
        <v>21.0</v>
      </c>
      <c r="I268" s="3">
        <v>88.3</v>
      </c>
      <c r="J268" s="3">
        <v>2.25</v>
      </c>
      <c r="K268" s="3">
        <v>0.0</v>
      </c>
      <c r="L268" s="3">
        <v>3.7</v>
      </c>
      <c r="M268" s="3">
        <v>745580.51</v>
      </c>
      <c r="N268" s="3">
        <v>116273.68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 t="s">
        <v>88</v>
      </c>
      <c r="B269" s="4">
        <v>45748.0</v>
      </c>
      <c r="C269" s="3" t="s">
        <v>15</v>
      </c>
      <c r="D269" s="3" t="s">
        <v>18</v>
      </c>
      <c r="E269" s="3">
        <v>67722.29</v>
      </c>
      <c r="F269" s="3">
        <v>7240.0</v>
      </c>
      <c r="G269" s="3">
        <v>0.026</v>
      </c>
      <c r="H269" s="3">
        <v>15.0</v>
      </c>
      <c r="I269" s="3">
        <v>92.9</v>
      </c>
      <c r="J269" s="3">
        <v>0.29</v>
      </c>
      <c r="K269" s="3">
        <v>0.0</v>
      </c>
      <c r="L269" s="3">
        <v>3.5</v>
      </c>
      <c r="M269" s="3">
        <v>762328.31</v>
      </c>
      <c r="N269" s="3">
        <v>159158.19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 t="s">
        <v>89</v>
      </c>
      <c r="B270" s="4">
        <v>45658.0</v>
      </c>
      <c r="C270" s="3" t="s">
        <v>15</v>
      </c>
      <c r="D270" s="3" t="s">
        <v>28</v>
      </c>
      <c r="E270" s="3">
        <v>48752.92</v>
      </c>
      <c r="F270" s="3">
        <v>8052.0</v>
      </c>
      <c r="G270" s="3">
        <v>0.106</v>
      </c>
      <c r="H270" s="3">
        <v>16.0</v>
      </c>
      <c r="I270" s="3">
        <v>94.9</v>
      </c>
      <c r="J270" s="3">
        <v>0.65</v>
      </c>
      <c r="K270" s="3">
        <v>0.0</v>
      </c>
      <c r="L270" s="3">
        <v>3.6</v>
      </c>
      <c r="M270" s="3">
        <v>660633.99</v>
      </c>
      <c r="N270" s="3">
        <v>118768.66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 t="s">
        <v>89</v>
      </c>
      <c r="B271" s="4">
        <v>45689.0</v>
      </c>
      <c r="C271" s="3" t="s">
        <v>15</v>
      </c>
      <c r="D271" s="3" t="s">
        <v>28</v>
      </c>
      <c r="E271" s="3">
        <v>23914.97</v>
      </c>
      <c r="F271" s="3">
        <v>8018.0</v>
      </c>
      <c r="G271" s="3">
        <v>0.139</v>
      </c>
      <c r="H271" s="3">
        <v>20.0</v>
      </c>
      <c r="I271" s="3">
        <v>89.0</v>
      </c>
      <c r="J271" s="3">
        <v>0.2</v>
      </c>
      <c r="K271" s="3">
        <v>0.0</v>
      </c>
      <c r="L271" s="3">
        <v>3.5</v>
      </c>
      <c r="M271" s="3">
        <v>739374.56</v>
      </c>
      <c r="N271" s="3">
        <v>121032.29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 t="s">
        <v>89</v>
      </c>
      <c r="B272" s="4">
        <v>45717.0</v>
      </c>
      <c r="C272" s="3" t="s">
        <v>15</v>
      </c>
      <c r="D272" s="3" t="s">
        <v>28</v>
      </c>
      <c r="E272" s="3">
        <v>61995.3</v>
      </c>
      <c r="F272" s="3">
        <v>10192.0</v>
      </c>
      <c r="G272" s="3">
        <v>0.198</v>
      </c>
      <c r="H272" s="3">
        <v>21.0</v>
      </c>
      <c r="I272" s="3">
        <v>87.6</v>
      </c>
      <c r="J272" s="3">
        <v>3.63</v>
      </c>
      <c r="K272" s="3">
        <v>1.0</v>
      </c>
      <c r="L272" s="3">
        <v>3.8</v>
      </c>
      <c r="M272" s="3">
        <v>799756.46</v>
      </c>
      <c r="N272" s="3">
        <v>105052.93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 t="s">
        <v>89</v>
      </c>
      <c r="B273" s="4">
        <v>45748.0</v>
      </c>
      <c r="C273" s="3" t="s">
        <v>15</v>
      </c>
      <c r="D273" s="3" t="s">
        <v>28</v>
      </c>
      <c r="E273" s="3">
        <v>29344.93</v>
      </c>
      <c r="F273" s="3">
        <v>7446.0</v>
      </c>
      <c r="G273" s="3">
        <v>0.111</v>
      </c>
      <c r="H273" s="3">
        <v>15.0</v>
      </c>
      <c r="I273" s="3">
        <v>86.2</v>
      </c>
      <c r="J273" s="3">
        <v>0.2</v>
      </c>
      <c r="K273" s="3">
        <v>0.0</v>
      </c>
      <c r="L273" s="3">
        <v>3.2</v>
      </c>
      <c r="M273" s="3">
        <v>593343.0</v>
      </c>
      <c r="N273" s="3">
        <v>82832.24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 t="s">
        <v>90</v>
      </c>
      <c r="B274" s="4">
        <v>45658.0</v>
      </c>
      <c r="C274" s="3" t="s">
        <v>27</v>
      </c>
      <c r="D274" s="3" t="s">
        <v>18</v>
      </c>
      <c r="E274" s="3">
        <v>50532.17</v>
      </c>
      <c r="F274" s="3">
        <v>5689.0</v>
      </c>
      <c r="G274" s="3">
        <v>0.052</v>
      </c>
      <c r="H274" s="3">
        <v>17.0</v>
      </c>
      <c r="I274" s="3">
        <v>85.6</v>
      </c>
      <c r="J274" s="3">
        <v>6.23</v>
      </c>
      <c r="K274" s="3">
        <v>0.0</v>
      </c>
      <c r="L274" s="3">
        <v>3.3</v>
      </c>
      <c r="M274" s="3">
        <v>645039.97</v>
      </c>
      <c r="N274" s="3">
        <v>83093.33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 t="s">
        <v>90</v>
      </c>
      <c r="B275" s="4">
        <v>45689.0</v>
      </c>
      <c r="C275" s="3" t="s">
        <v>27</v>
      </c>
      <c r="D275" s="3" t="s">
        <v>18</v>
      </c>
      <c r="E275" s="3">
        <v>17562.57</v>
      </c>
      <c r="F275" s="3">
        <v>3326.0</v>
      </c>
      <c r="G275" s="3">
        <v>0.153</v>
      </c>
      <c r="H275" s="3">
        <v>14.0</v>
      </c>
      <c r="I275" s="3">
        <v>88.1</v>
      </c>
      <c r="J275" s="3">
        <v>1.04</v>
      </c>
      <c r="K275" s="3">
        <v>0.0</v>
      </c>
      <c r="L275" s="3">
        <v>3.1</v>
      </c>
      <c r="M275" s="3">
        <v>561597.33</v>
      </c>
      <c r="N275" s="3">
        <v>75072.75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 t="s">
        <v>90</v>
      </c>
      <c r="B276" s="4">
        <v>45717.0</v>
      </c>
      <c r="C276" s="3" t="s">
        <v>27</v>
      </c>
      <c r="D276" s="3" t="s">
        <v>18</v>
      </c>
      <c r="E276" s="3">
        <v>47648.71</v>
      </c>
      <c r="F276" s="3">
        <v>5767.0</v>
      </c>
      <c r="G276" s="3">
        <v>0.141</v>
      </c>
      <c r="H276" s="3">
        <v>17.0</v>
      </c>
      <c r="I276" s="3">
        <v>89.8</v>
      </c>
      <c r="J276" s="3">
        <v>1.76</v>
      </c>
      <c r="K276" s="3">
        <v>0.0</v>
      </c>
      <c r="L276" s="3">
        <v>3.1</v>
      </c>
      <c r="M276" s="3">
        <v>635837.74</v>
      </c>
      <c r="N276" s="3">
        <v>114740.64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 t="s">
        <v>90</v>
      </c>
      <c r="B277" s="4">
        <v>45748.0</v>
      </c>
      <c r="C277" s="3" t="s">
        <v>27</v>
      </c>
      <c r="D277" s="3" t="s">
        <v>18</v>
      </c>
      <c r="E277" s="3">
        <v>38297.58</v>
      </c>
      <c r="F277" s="3">
        <v>5893.0</v>
      </c>
      <c r="G277" s="3">
        <v>0.247</v>
      </c>
      <c r="H277" s="3">
        <v>18.0</v>
      </c>
      <c r="I277" s="3">
        <v>77.6</v>
      </c>
      <c r="J277" s="3">
        <v>2.86</v>
      </c>
      <c r="K277" s="3">
        <v>0.0</v>
      </c>
      <c r="L277" s="3">
        <v>3.0</v>
      </c>
      <c r="M277" s="3">
        <v>686737.87</v>
      </c>
      <c r="N277" s="3">
        <v>83839.67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 t="s">
        <v>91</v>
      </c>
      <c r="B278" s="4">
        <v>45658.0</v>
      </c>
      <c r="C278" s="3" t="s">
        <v>24</v>
      </c>
      <c r="D278" s="3" t="s">
        <v>16</v>
      </c>
      <c r="E278" s="3">
        <v>61784.11</v>
      </c>
      <c r="F278" s="3">
        <v>8564.0</v>
      </c>
      <c r="G278" s="3">
        <v>0.13</v>
      </c>
      <c r="H278" s="3">
        <v>17.0</v>
      </c>
      <c r="I278" s="3">
        <v>87.4</v>
      </c>
      <c r="J278" s="3">
        <v>18.14</v>
      </c>
      <c r="K278" s="3">
        <v>1.0</v>
      </c>
      <c r="L278" s="3">
        <v>3.4</v>
      </c>
      <c r="M278" s="3">
        <v>673076.34</v>
      </c>
      <c r="N278" s="3">
        <v>93899.76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 t="s">
        <v>91</v>
      </c>
      <c r="B279" s="4">
        <v>45689.0</v>
      </c>
      <c r="C279" s="3" t="s">
        <v>24</v>
      </c>
      <c r="D279" s="3" t="s">
        <v>16</v>
      </c>
      <c r="E279" s="3">
        <v>36832.33</v>
      </c>
      <c r="F279" s="3">
        <v>8001.0</v>
      </c>
      <c r="G279" s="3">
        <v>0.0</v>
      </c>
      <c r="H279" s="3">
        <v>19.0</v>
      </c>
      <c r="I279" s="3">
        <v>88.7</v>
      </c>
      <c r="J279" s="3">
        <v>3.39</v>
      </c>
      <c r="K279" s="3">
        <v>0.0</v>
      </c>
      <c r="L279" s="3">
        <v>4.0</v>
      </c>
      <c r="M279" s="3">
        <v>738548.42</v>
      </c>
      <c r="N279" s="3">
        <v>134282.77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 t="s">
        <v>91</v>
      </c>
      <c r="B280" s="4">
        <v>45717.0</v>
      </c>
      <c r="C280" s="3" t="s">
        <v>24</v>
      </c>
      <c r="D280" s="3" t="s">
        <v>16</v>
      </c>
      <c r="E280" s="3">
        <v>48609.41</v>
      </c>
      <c r="F280" s="3">
        <v>9324.0</v>
      </c>
      <c r="G280" s="3">
        <v>0.213</v>
      </c>
      <c r="H280" s="3">
        <v>18.0</v>
      </c>
      <c r="I280" s="3">
        <v>86.5</v>
      </c>
      <c r="J280" s="3">
        <v>1.44</v>
      </c>
      <c r="K280" s="3">
        <v>0.0</v>
      </c>
      <c r="L280" s="3">
        <v>3.9</v>
      </c>
      <c r="M280" s="3">
        <v>756619.77</v>
      </c>
      <c r="N280" s="3">
        <v>112057.69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 t="s">
        <v>91</v>
      </c>
      <c r="B281" s="4">
        <v>45748.0</v>
      </c>
      <c r="C281" s="3" t="s">
        <v>24</v>
      </c>
      <c r="D281" s="3" t="s">
        <v>16</v>
      </c>
      <c r="E281" s="3">
        <v>70284.06</v>
      </c>
      <c r="F281" s="3">
        <v>9109.0</v>
      </c>
      <c r="G281" s="3">
        <v>0.004</v>
      </c>
      <c r="H281" s="3">
        <v>23.0</v>
      </c>
      <c r="I281" s="3">
        <v>87.0</v>
      </c>
      <c r="J281" s="3">
        <v>3.65</v>
      </c>
      <c r="K281" s="3">
        <v>0.0</v>
      </c>
      <c r="L281" s="3">
        <v>3.7</v>
      </c>
      <c r="M281" s="3">
        <v>761122.42</v>
      </c>
      <c r="N281" s="3">
        <v>149802.04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 t="s">
        <v>92</v>
      </c>
      <c r="B282" s="4">
        <v>45658.0</v>
      </c>
      <c r="C282" s="3" t="s">
        <v>24</v>
      </c>
      <c r="D282" s="3" t="s">
        <v>18</v>
      </c>
      <c r="E282" s="3">
        <v>45940.39</v>
      </c>
      <c r="F282" s="3">
        <v>4022.0</v>
      </c>
      <c r="G282" s="3">
        <v>0.069</v>
      </c>
      <c r="H282" s="3">
        <v>10.0</v>
      </c>
      <c r="I282" s="3">
        <v>83.0</v>
      </c>
      <c r="J282" s="3">
        <v>1.23</v>
      </c>
      <c r="K282" s="3">
        <v>1.0</v>
      </c>
      <c r="L282" s="3">
        <v>3.8</v>
      </c>
      <c r="M282" s="3">
        <v>524899.57</v>
      </c>
      <c r="N282" s="3">
        <v>63619.98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 t="s">
        <v>92</v>
      </c>
      <c r="B283" s="4">
        <v>45689.0</v>
      </c>
      <c r="C283" s="3" t="s">
        <v>24</v>
      </c>
      <c r="D283" s="3" t="s">
        <v>18</v>
      </c>
      <c r="E283" s="3">
        <v>34771.26</v>
      </c>
      <c r="F283" s="3">
        <v>4355.0</v>
      </c>
      <c r="G283" s="3">
        <v>0.051</v>
      </c>
      <c r="H283" s="3">
        <v>15.0</v>
      </c>
      <c r="I283" s="3">
        <v>87.9</v>
      </c>
      <c r="J283" s="3">
        <v>3.09</v>
      </c>
      <c r="K283" s="3">
        <v>0.0</v>
      </c>
      <c r="L283" s="3">
        <v>4.0</v>
      </c>
      <c r="M283" s="3">
        <v>555557.77</v>
      </c>
      <c r="N283" s="3">
        <v>86475.51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 t="s">
        <v>92</v>
      </c>
      <c r="B284" s="4">
        <v>45717.0</v>
      </c>
      <c r="C284" s="3" t="s">
        <v>24</v>
      </c>
      <c r="D284" s="3" t="s">
        <v>18</v>
      </c>
      <c r="E284" s="3">
        <v>66104.19</v>
      </c>
      <c r="F284" s="3">
        <v>5745.0</v>
      </c>
      <c r="G284" s="3">
        <v>0.07</v>
      </c>
      <c r="H284" s="3">
        <v>17.0</v>
      </c>
      <c r="I284" s="3">
        <v>95.8</v>
      </c>
      <c r="J284" s="3">
        <v>3.15</v>
      </c>
      <c r="K284" s="3">
        <v>0.0</v>
      </c>
      <c r="L284" s="3">
        <v>4.0</v>
      </c>
      <c r="M284" s="3">
        <v>714083.68</v>
      </c>
      <c r="N284" s="3">
        <v>127231.74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 t="s">
        <v>92</v>
      </c>
      <c r="B285" s="4">
        <v>45748.0</v>
      </c>
      <c r="C285" s="3" t="s">
        <v>24</v>
      </c>
      <c r="D285" s="3" t="s">
        <v>18</v>
      </c>
      <c r="E285" s="3">
        <v>18599.21</v>
      </c>
      <c r="F285" s="3">
        <v>3027.0</v>
      </c>
      <c r="G285" s="3">
        <v>0.122</v>
      </c>
      <c r="H285" s="3">
        <v>11.0</v>
      </c>
      <c r="I285" s="3">
        <v>80.9</v>
      </c>
      <c r="J285" s="3">
        <v>6.44</v>
      </c>
      <c r="K285" s="3">
        <v>0.0</v>
      </c>
      <c r="L285" s="3">
        <v>4.2</v>
      </c>
      <c r="M285" s="3">
        <v>497439.82</v>
      </c>
      <c r="N285" s="3">
        <v>93372.75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 t="s">
        <v>93</v>
      </c>
      <c r="B286" s="4">
        <v>45658.0</v>
      </c>
      <c r="C286" s="3" t="s">
        <v>27</v>
      </c>
      <c r="D286" s="3" t="s">
        <v>16</v>
      </c>
      <c r="E286" s="3">
        <v>60183.06</v>
      </c>
      <c r="F286" s="3">
        <v>5562.0</v>
      </c>
      <c r="G286" s="3">
        <v>0.009</v>
      </c>
      <c r="H286" s="3">
        <v>13.0</v>
      </c>
      <c r="I286" s="3">
        <v>86.3</v>
      </c>
      <c r="J286" s="3">
        <v>0.2</v>
      </c>
      <c r="K286" s="3">
        <v>1.0</v>
      </c>
      <c r="L286" s="3">
        <v>4.5</v>
      </c>
      <c r="M286" s="3">
        <v>636775.66</v>
      </c>
      <c r="N286" s="3">
        <v>122636.86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 t="s">
        <v>93</v>
      </c>
      <c r="B287" s="4">
        <v>45689.0</v>
      </c>
      <c r="C287" s="3" t="s">
        <v>27</v>
      </c>
      <c r="D287" s="3" t="s">
        <v>16</v>
      </c>
      <c r="E287" s="3">
        <v>74539.14</v>
      </c>
      <c r="F287" s="3">
        <v>4487.0</v>
      </c>
      <c r="G287" s="3">
        <v>0.14</v>
      </c>
      <c r="H287" s="3">
        <v>10.0</v>
      </c>
      <c r="I287" s="3">
        <v>90.4</v>
      </c>
      <c r="J287" s="3">
        <v>0.59</v>
      </c>
      <c r="K287" s="3">
        <v>0.0</v>
      </c>
      <c r="L287" s="3">
        <v>4.5</v>
      </c>
      <c r="M287" s="3">
        <v>633009.53</v>
      </c>
      <c r="N287" s="3">
        <v>123782.67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 t="s">
        <v>93</v>
      </c>
      <c r="B288" s="4">
        <v>45717.0</v>
      </c>
      <c r="C288" s="3" t="s">
        <v>27</v>
      </c>
      <c r="D288" s="3" t="s">
        <v>16</v>
      </c>
      <c r="E288" s="3">
        <v>55371.97</v>
      </c>
      <c r="F288" s="3">
        <v>4162.0</v>
      </c>
      <c r="G288" s="3">
        <v>0.183</v>
      </c>
      <c r="H288" s="3">
        <v>11.0</v>
      </c>
      <c r="I288" s="3">
        <v>92.0</v>
      </c>
      <c r="J288" s="3">
        <v>0.2</v>
      </c>
      <c r="K288" s="3">
        <v>1.0</v>
      </c>
      <c r="L288" s="3">
        <v>4.2</v>
      </c>
      <c r="M288" s="3">
        <v>609949.0</v>
      </c>
      <c r="N288" s="3">
        <v>126789.25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 t="s">
        <v>93</v>
      </c>
      <c r="B289" s="4">
        <v>45748.0</v>
      </c>
      <c r="C289" s="3" t="s">
        <v>27</v>
      </c>
      <c r="D289" s="3" t="s">
        <v>16</v>
      </c>
      <c r="E289" s="3">
        <v>40928.69</v>
      </c>
      <c r="F289" s="3">
        <v>4094.0</v>
      </c>
      <c r="G289" s="3">
        <v>0.174</v>
      </c>
      <c r="H289" s="3">
        <v>13.0</v>
      </c>
      <c r="I289" s="3">
        <v>82.4</v>
      </c>
      <c r="J289" s="3">
        <v>1.36</v>
      </c>
      <c r="K289" s="3">
        <v>0.0</v>
      </c>
      <c r="L289" s="3">
        <v>4.8</v>
      </c>
      <c r="M289" s="3">
        <v>548103.7</v>
      </c>
      <c r="N289" s="3">
        <v>99905.52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 t="s">
        <v>94</v>
      </c>
      <c r="B290" s="4">
        <v>45658.0</v>
      </c>
      <c r="C290" s="3" t="s">
        <v>15</v>
      </c>
      <c r="D290" s="3" t="s">
        <v>16</v>
      </c>
      <c r="E290" s="3">
        <v>70012.41</v>
      </c>
      <c r="F290" s="3">
        <v>8484.0</v>
      </c>
      <c r="G290" s="3">
        <v>0.273</v>
      </c>
      <c r="H290" s="3">
        <v>23.0</v>
      </c>
      <c r="I290" s="3">
        <v>72.9</v>
      </c>
      <c r="J290" s="3">
        <v>3.34</v>
      </c>
      <c r="K290" s="3">
        <v>0.0</v>
      </c>
      <c r="L290" s="3">
        <v>3.7</v>
      </c>
      <c r="M290" s="3">
        <v>729424.42</v>
      </c>
      <c r="N290" s="3">
        <v>75592.28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 t="s">
        <v>94</v>
      </c>
      <c r="B291" s="4">
        <v>45689.0</v>
      </c>
      <c r="C291" s="3" t="s">
        <v>15</v>
      </c>
      <c r="D291" s="3" t="s">
        <v>16</v>
      </c>
      <c r="E291" s="3">
        <v>68909.26</v>
      </c>
      <c r="F291" s="3">
        <v>7794.0</v>
      </c>
      <c r="G291" s="3">
        <v>0.284</v>
      </c>
      <c r="H291" s="3">
        <v>22.0</v>
      </c>
      <c r="I291" s="3">
        <v>89.0</v>
      </c>
      <c r="J291" s="3">
        <v>0.33</v>
      </c>
      <c r="K291" s="3">
        <v>0.0</v>
      </c>
      <c r="L291" s="3">
        <v>4.0</v>
      </c>
      <c r="M291" s="3">
        <v>696261.49</v>
      </c>
      <c r="N291" s="3">
        <v>72455.35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 t="s">
        <v>94</v>
      </c>
      <c r="B292" s="4">
        <v>45717.0</v>
      </c>
      <c r="C292" s="3" t="s">
        <v>15</v>
      </c>
      <c r="D292" s="3" t="s">
        <v>16</v>
      </c>
      <c r="E292" s="3">
        <v>56737.3</v>
      </c>
      <c r="F292" s="3">
        <v>8300.0</v>
      </c>
      <c r="G292" s="3">
        <v>0.032</v>
      </c>
      <c r="H292" s="3">
        <v>21.0</v>
      </c>
      <c r="I292" s="3">
        <v>83.2</v>
      </c>
      <c r="J292" s="3">
        <v>3.44</v>
      </c>
      <c r="K292" s="3">
        <v>1.0</v>
      </c>
      <c r="L292" s="3">
        <v>4.3</v>
      </c>
      <c r="M292" s="3">
        <v>813316.71</v>
      </c>
      <c r="N292" s="3">
        <v>110077.42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 t="s">
        <v>94</v>
      </c>
      <c r="B293" s="4">
        <v>45748.0</v>
      </c>
      <c r="C293" s="3" t="s">
        <v>15</v>
      </c>
      <c r="D293" s="3" t="s">
        <v>16</v>
      </c>
      <c r="E293" s="3">
        <v>54080.91</v>
      </c>
      <c r="F293" s="3">
        <v>7083.0</v>
      </c>
      <c r="G293" s="3">
        <v>0.0</v>
      </c>
      <c r="H293" s="3">
        <v>15.0</v>
      </c>
      <c r="I293" s="3">
        <v>97.0</v>
      </c>
      <c r="J293" s="3">
        <v>5.33</v>
      </c>
      <c r="K293" s="3">
        <v>0.0</v>
      </c>
      <c r="L293" s="3">
        <v>4.1</v>
      </c>
      <c r="M293" s="3">
        <v>702068.92</v>
      </c>
      <c r="N293" s="3">
        <v>111266.63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 t="s">
        <v>95</v>
      </c>
      <c r="B294" s="4">
        <v>45658.0</v>
      </c>
      <c r="C294" s="3" t="s">
        <v>27</v>
      </c>
      <c r="D294" s="3" t="s">
        <v>18</v>
      </c>
      <c r="E294" s="3">
        <v>51996.32</v>
      </c>
      <c r="F294" s="3">
        <v>3834.0</v>
      </c>
      <c r="G294" s="3">
        <v>0.096</v>
      </c>
      <c r="H294" s="3">
        <v>8.0</v>
      </c>
      <c r="I294" s="3">
        <v>86.7</v>
      </c>
      <c r="J294" s="3">
        <v>6.04</v>
      </c>
      <c r="K294" s="3">
        <v>0.0</v>
      </c>
      <c r="L294" s="3">
        <v>4.5</v>
      </c>
      <c r="M294" s="3">
        <v>546223.7</v>
      </c>
      <c r="N294" s="3">
        <v>100769.17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 t="s">
        <v>95</v>
      </c>
      <c r="B295" s="4">
        <v>45689.0</v>
      </c>
      <c r="C295" s="3" t="s">
        <v>27</v>
      </c>
      <c r="D295" s="3" t="s">
        <v>18</v>
      </c>
      <c r="E295" s="3">
        <v>40102.88</v>
      </c>
      <c r="F295" s="3">
        <v>2358.0</v>
      </c>
      <c r="G295" s="3">
        <v>0.119</v>
      </c>
      <c r="H295" s="3">
        <v>9.0</v>
      </c>
      <c r="I295" s="3">
        <v>88.7</v>
      </c>
      <c r="J295" s="3">
        <v>1.6</v>
      </c>
      <c r="K295" s="3">
        <v>0.0</v>
      </c>
      <c r="L295" s="3">
        <v>4.2</v>
      </c>
      <c r="M295" s="3">
        <v>533121.26</v>
      </c>
      <c r="N295" s="3">
        <v>55063.39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 t="s">
        <v>95</v>
      </c>
      <c r="B296" s="4">
        <v>45717.0</v>
      </c>
      <c r="C296" s="3" t="s">
        <v>27</v>
      </c>
      <c r="D296" s="3" t="s">
        <v>18</v>
      </c>
      <c r="E296" s="3">
        <v>59825.51</v>
      </c>
      <c r="F296" s="3">
        <v>1231.0</v>
      </c>
      <c r="G296" s="3">
        <v>0.214</v>
      </c>
      <c r="H296" s="3">
        <v>10.0</v>
      </c>
      <c r="I296" s="3">
        <v>84.8</v>
      </c>
      <c r="J296" s="3">
        <v>8.96</v>
      </c>
      <c r="K296" s="3">
        <v>0.0</v>
      </c>
      <c r="L296" s="3">
        <v>4.7</v>
      </c>
      <c r="M296" s="3">
        <v>498970.32</v>
      </c>
      <c r="N296" s="3">
        <v>69656.7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 t="s">
        <v>95</v>
      </c>
      <c r="B297" s="4">
        <v>45748.0</v>
      </c>
      <c r="C297" s="3" t="s">
        <v>27</v>
      </c>
      <c r="D297" s="3" t="s">
        <v>18</v>
      </c>
      <c r="E297" s="3">
        <v>27398.28</v>
      </c>
      <c r="F297" s="3">
        <v>1723.0</v>
      </c>
      <c r="G297" s="3">
        <v>0.171</v>
      </c>
      <c r="H297" s="3">
        <v>9.0</v>
      </c>
      <c r="I297" s="3">
        <v>81.0</v>
      </c>
      <c r="J297" s="3">
        <v>0.74</v>
      </c>
      <c r="K297" s="3">
        <v>0.0</v>
      </c>
      <c r="L297" s="3">
        <v>4.6</v>
      </c>
      <c r="M297" s="3">
        <v>487738.26</v>
      </c>
      <c r="N297" s="3">
        <v>96435.6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 t="s">
        <v>96</v>
      </c>
      <c r="B298" s="4">
        <v>45658.0</v>
      </c>
      <c r="C298" s="3" t="s">
        <v>27</v>
      </c>
      <c r="D298" s="3" t="s">
        <v>18</v>
      </c>
      <c r="E298" s="3">
        <v>55599.56</v>
      </c>
      <c r="F298" s="3">
        <v>5896.0</v>
      </c>
      <c r="G298" s="3">
        <v>0.036</v>
      </c>
      <c r="H298" s="3">
        <v>12.0</v>
      </c>
      <c r="I298" s="3">
        <v>93.1</v>
      </c>
      <c r="J298" s="3">
        <v>6.13</v>
      </c>
      <c r="K298" s="3">
        <v>0.0</v>
      </c>
      <c r="L298" s="3">
        <v>3.3</v>
      </c>
      <c r="M298" s="3">
        <v>668459.37</v>
      </c>
      <c r="N298" s="3">
        <v>126435.42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 t="s">
        <v>96</v>
      </c>
      <c r="B299" s="4">
        <v>45689.0</v>
      </c>
      <c r="C299" s="3" t="s">
        <v>27</v>
      </c>
      <c r="D299" s="3" t="s">
        <v>18</v>
      </c>
      <c r="E299" s="3">
        <v>55477.61</v>
      </c>
      <c r="F299" s="3">
        <v>5903.0</v>
      </c>
      <c r="G299" s="3">
        <v>0.102</v>
      </c>
      <c r="H299" s="3">
        <v>14.0</v>
      </c>
      <c r="I299" s="3">
        <v>96.2</v>
      </c>
      <c r="J299" s="3">
        <v>1.41</v>
      </c>
      <c r="K299" s="3">
        <v>0.0</v>
      </c>
      <c r="L299" s="3">
        <v>3.3</v>
      </c>
      <c r="M299" s="3">
        <v>763162.45</v>
      </c>
      <c r="N299" s="3">
        <v>162524.05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 t="s">
        <v>96</v>
      </c>
      <c r="B300" s="4">
        <v>45717.0</v>
      </c>
      <c r="C300" s="3" t="s">
        <v>27</v>
      </c>
      <c r="D300" s="3" t="s">
        <v>18</v>
      </c>
      <c r="E300" s="3">
        <v>46174.7</v>
      </c>
      <c r="F300" s="3">
        <v>4898.0</v>
      </c>
      <c r="G300" s="3">
        <v>0.114</v>
      </c>
      <c r="H300" s="3">
        <v>11.0</v>
      </c>
      <c r="I300" s="3">
        <v>91.7</v>
      </c>
      <c r="J300" s="3">
        <v>3.75</v>
      </c>
      <c r="K300" s="3">
        <v>0.0</v>
      </c>
      <c r="L300" s="3">
        <v>3.1</v>
      </c>
      <c r="M300" s="3">
        <v>599017.33</v>
      </c>
      <c r="N300" s="3">
        <v>134009.92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 t="s">
        <v>96</v>
      </c>
      <c r="B301" s="4">
        <v>45748.0</v>
      </c>
      <c r="C301" s="3" t="s">
        <v>27</v>
      </c>
      <c r="D301" s="3" t="s">
        <v>18</v>
      </c>
      <c r="E301" s="3">
        <v>24362.98</v>
      </c>
      <c r="F301" s="3">
        <v>1462.0</v>
      </c>
      <c r="G301" s="3">
        <v>0.117</v>
      </c>
      <c r="H301" s="3">
        <v>6.0</v>
      </c>
      <c r="I301" s="3">
        <v>89.3</v>
      </c>
      <c r="J301" s="3">
        <v>15.06</v>
      </c>
      <c r="K301" s="3">
        <v>0.0</v>
      </c>
      <c r="L301" s="3">
        <v>3.2</v>
      </c>
      <c r="M301" s="3">
        <v>401582.58</v>
      </c>
      <c r="N301" s="3">
        <v>68454.93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 t="s">
        <v>97</v>
      </c>
      <c r="B302" s="4">
        <v>45658.0</v>
      </c>
      <c r="C302" s="3" t="s">
        <v>20</v>
      </c>
      <c r="D302" s="3" t="s">
        <v>28</v>
      </c>
      <c r="E302" s="3">
        <v>40647.67</v>
      </c>
      <c r="F302" s="3">
        <v>8252.0</v>
      </c>
      <c r="G302" s="3">
        <v>0.141</v>
      </c>
      <c r="H302" s="3">
        <v>22.0</v>
      </c>
      <c r="I302" s="3">
        <v>88.2</v>
      </c>
      <c r="J302" s="3">
        <v>5.07</v>
      </c>
      <c r="K302" s="3">
        <v>1.0</v>
      </c>
      <c r="L302" s="3">
        <v>4.1</v>
      </c>
      <c r="M302" s="3">
        <v>703812.99</v>
      </c>
      <c r="N302" s="3">
        <v>133577.98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 t="s">
        <v>97</v>
      </c>
      <c r="B303" s="4">
        <v>45689.0</v>
      </c>
      <c r="C303" s="3" t="s">
        <v>20</v>
      </c>
      <c r="D303" s="3" t="s">
        <v>28</v>
      </c>
      <c r="E303" s="3">
        <v>63986.98</v>
      </c>
      <c r="F303" s="3">
        <v>7989.0</v>
      </c>
      <c r="G303" s="3">
        <v>0.074</v>
      </c>
      <c r="H303" s="3">
        <v>20.0</v>
      </c>
      <c r="I303" s="3">
        <v>83.3</v>
      </c>
      <c r="J303" s="3">
        <v>3.6</v>
      </c>
      <c r="K303" s="3">
        <v>0.0</v>
      </c>
      <c r="L303" s="3">
        <v>3.7</v>
      </c>
      <c r="M303" s="3">
        <v>724346.73</v>
      </c>
      <c r="N303" s="3">
        <v>155013.91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 t="s">
        <v>97</v>
      </c>
      <c r="B304" s="4">
        <v>45717.0</v>
      </c>
      <c r="C304" s="3" t="s">
        <v>20</v>
      </c>
      <c r="D304" s="3" t="s">
        <v>28</v>
      </c>
      <c r="E304" s="3">
        <v>52843.75</v>
      </c>
      <c r="F304" s="3">
        <v>8268.0</v>
      </c>
      <c r="G304" s="3">
        <v>0.138</v>
      </c>
      <c r="H304" s="3">
        <v>19.0</v>
      </c>
      <c r="I304" s="3">
        <v>87.3</v>
      </c>
      <c r="J304" s="3">
        <v>4.39</v>
      </c>
      <c r="K304" s="3">
        <v>1.0</v>
      </c>
      <c r="L304" s="3">
        <v>4.7</v>
      </c>
      <c r="M304" s="3">
        <v>730890.01</v>
      </c>
      <c r="N304" s="3">
        <v>105502.56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 t="s">
        <v>97</v>
      </c>
      <c r="B305" s="4">
        <v>45748.0</v>
      </c>
      <c r="C305" s="3" t="s">
        <v>20</v>
      </c>
      <c r="D305" s="3" t="s">
        <v>28</v>
      </c>
      <c r="E305" s="3">
        <v>31997.25</v>
      </c>
      <c r="F305" s="3">
        <v>8183.0</v>
      </c>
      <c r="G305" s="3">
        <v>0.198</v>
      </c>
      <c r="H305" s="3">
        <v>18.0</v>
      </c>
      <c r="I305" s="3">
        <v>93.0</v>
      </c>
      <c r="J305" s="3">
        <v>2.79</v>
      </c>
      <c r="K305" s="3">
        <v>0.0</v>
      </c>
      <c r="L305" s="3">
        <v>4.2</v>
      </c>
      <c r="M305" s="3">
        <v>780580.95</v>
      </c>
      <c r="N305" s="3">
        <v>138144.46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 t="s">
        <v>98</v>
      </c>
      <c r="B306" s="4">
        <v>45658.0</v>
      </c>
      <c r="C306" s="3" t="s">
        <v>24</v>
      </c>
      <c r="D306" s="3" t="s">
        <v>16</v>
      </c>
      <c r="E306" s="3">
        <v>54948.02</v>
      </c>
      <c r="F306" s="3">
        <v>6534.0</v>
      </c>
      <c r="G306" s="3">
        <v>0.183</v>
      </c>
      <c r="H306" s="3">
        <v>14.0</v>
      </c>
      <c r="I306" s="3">
        <v>94.5</v>
      </c>
      <c r="J306" s="3">
        <v>1.56</v>
      </c>
      <c r="K306" s="3">
        <v>0.0</v>
      </c>
      <c r="L306" s="3">
        <v>4.0</v>
      </c>
      <c r="M306" s="3">
        <v>727957.48</v>
      </c>
      <c r="N306" s="3">
        <v>74805.23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 t="s">
        <v>98</v>
      </c>
      <c r="B307" s="4">
        <v>45689.0</v>
      </c>
      <c r="C307" s="3" t="s">
        <v>24</v>
      </c>
      <c r="D307" s="3" t="s">
        <v>16</v>
      </c>
      <c r="E307" s="3">
        <v>46146.24</v>
      </c>
      <c r="F307" s="3">
        <v>5804.0</v>
      </c>
      <c r="G307" s="3">
        <v>0.047</v>
      </c>
      <c r="H307" s="3">
        <v>16.0</v>
      </c>
      <c r="I307" s="3">
        <v>86.9</v>
      </c>
      <c r="J307" s="3">
        <v>15.82</v>
      </c>
      <c r="K307" s="3">
        <v>0.0</v>
      </c>
      <c r="L307" s="3">
        <v>3.8</v>
      </c>
      <c r="M307" s="3">
        <v>538376.0</v>
      </c>
      <c r="N307" s="3">
        <v>87605.62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 t="s">
        <v>98</v>
      </c>
      <c r="B308" s="4">
        <v>45717.0</v>
      </c>
      <c r="C308" s="3" t="s">
        <v>24</v>
      </c>
      <c r="D308" s="3" t="s">
        <v>16</v>
      </c>
      <c r="E308" s="3">
        <v>22387.26</v>
      </c>
      <c r="F308" s="3">
        <v>6301.0</v>
      </c>
      <c r="G308" s="3">
        <v>0.146</v>
      </c>
      <c r="H308" s="3">
        <v>14.0</v>
      </c>
      <c r="I308" s="3">
        <v>85.9</v>
      </c>
      <c r="J308" s="3">
        <v>1.17</v>
      </c>
      <c r="K308" s="3">
        <v>1.0</v>
      </c>
      <c r="L308" s="3">
        <v>3.7</v>
      </c>
      <c r="M308" s="3">
        <v>665342.49</v>
      </c>
      <c r="N308" s="3">
        <v>93441.81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 t="s">
        <v>98</v>
      </c>
      <c r="B309" s="4">
        <v>45748.0</v>
      </c>
      <c r="C309" s="3" t="s">
        <v>24</v>
      </c>
      <c r="D309" s="3" t="s">
        <v>16</v>
      </c>
      <c r="E309" s="3">
        <v>60684.05</v>
      </c>
      <c r="F309" s="3">
        <v>6399.0</v>
      </c>
      <c r="G309" s="3">
        <v>0.075</v>
      </c>
      <c r="H309" s="3">
        <v>16.0</v>
      </c>
      <c r="I309" s="3">
        <v>99.0</v>
      </c>
      <c r="J309" s="3">
        <v>3.82</v>
      </c>
      <c r="K309" s="3">
        <v>0.0</v>
      </c>
      <c r="L309" s="3">
        <v>3.5</v>
      </c>
      <c r="M309" s="3">
        <v>651164.18</v>
      </c>
      <c r="N309" s="3">
        <v>109466.5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 t="s">
        <v>99</v>
      </c>
      <c r="B310" s="4">
        <v>45658.0</v>
      </c>
      <c r="C310" s="3" t="s">
        <v>24</v>
      </c>
      <c r="D310" s="3" t="s">
        <v>18</v>
      </c>
      <c r="E310" s="3">
        <v>48465.6</v>
      </c>
      <c r="F310" s="3">
        <v>5759.0</v>
      </c>
      <c r="G310" s="3">
        <v>0.154</v>
      </c>
      <c r="H310" s="3">
        <v>13.0</v>
      </c>
      <c r="I310" s="3">
        <v>87.5</v>
      </c>
      <c r="J310" s="3">
        <v>4.14</v>
      </c>
      <c r="K310" s="3">
        <v>0.0</v>
      </c>
      <c r="L310" s="3">
        <v>4.0</v>
      </c>
      <c r="M310" s="3">
        <v>628538.3</v>
      </c>
      <c r="N310" s="3">
        <v>112509.15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 t="s">
        <v>99</v>
      </c>
      <c r="B311" s="4">
        <v>45689.0</v>
      </c>
      <c r="C311" s="3" t="s">
        <v>24</v>
      </c>
      <c r="D311" s="3" t="s">
        <v>18</v>
      </c>
      <c r="E311" s="3">
        <v>23702.38</v>
      </c>
      <c r="F311" s="3">
        <v>5285.0</v>
      </c>
      <c r="G311" s="3">
        <v>0.167</v>
      </c>
      <c r="H311" s="3">
        <v>14.0</v>
      </c>
      <c r="I311" s="3">
        <v>79.7</v>
      </c>
      <c r="J311" s="3">
        <v>1.1</v>
      </c>
      <c r="K311" s="3">
        <v>0.0</v>
      </c>
      <c r="L311" s="3">
        <v>4.3</v>
      </c>
      <c r="M311" s="3">
        <v>536524.84</v>
      </c>
      <c r="N311" s="3">
        <v>92752.94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 t="s">
        <v>99</v>
      </c>
      <c r="B312" s="4">
        <v>45717.0</v>
      </c>
      <c r="C312" s="3" t="s">
        <v>24</v>
      </c>
      <c r="D312" s="3" t="s">
        <v>18</v>
      </c>
      <c r="E312" s="3">
        <v>54322.94</v>
      </c>
      <c r="F312" s="3">
        <v>5434.0</v>
      </c>
      <c r="G312" s="3">
        <v>0.2</v>
      </c>
      <c r="H312" s="3">
        <v>13.0</v>
      </c>
      <c r="I312" s="3">
        <v>85.7</v>
      </c>
      <c r="J312" s="3">
        <v>10.6</v>
      </c>
      <c r="K312" s="3">
        <v>0.0</v>
      </c>
      <c r="L312" s="3">
        <v>4.2</v>
      </c>
      <c r="M312" s="3">
        <v>621677.3</v>
      </c>
      <c r="N312" s="3">
        <v>105192.52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 t="s">
        <v>99</v>
      </c>
      <c r="B313" s="4">
        <v>45748.0</v>
      </c>
      <c r="C313" s="3" t="s">
        <v>24</v>
      </c>
      <c r="D313" s="3" t="s">
        <v>18</v>
      </c>
      <c r="E313" s="3">
        <v>86026.58</v>
      </c>
      <c r="F313" s="3">
        <v>7479.0</v>
      </c>
      <c r="G313" s="3">
        <v>0.142</v>
      </c>
      <c r="H313" s="3">
        <v>20.0</v>
      </c>
      <c r="I313" s="3">
        <v>89.0</v>
      </c>
      <c r="J313" s="3">
        <v>0.9</v>
      </c>
      <c r="K313" s="3">
        <v>0.0</v>
      </c>
      <c r="L313" s="5"/>
      <c r="M313" s="3">
        <v>771129.07</v>
      </c>
      <c r="N313" s="3">
        <v>116851.13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 t="s">
        <v>100</v>
      </c>
      <c r="B314" s="4">
        <v>45658.0</v>
      </c>
      <c r="C314" s="3" t="s">
        <v>20</v>
      </c>
      <c r="D314" s="3" t="s">
        <v>16</v>
      </c>
      <c r="E314" s="3">
        <v>78967.52</v>
      </c>
      <c r="F314" s="3">
        <v>6164.0</v>
      </c>
      <c r="G314" s="3">
        <v>0.021</v>
      </c>
      <c r="H314" s="3">
        <v>16.0</v>
      </c>
      <c r="I314" s="3">
        <v>85.5</v>
      </c>
      <c r="J314" s="3">
        <v>0.2</v>
      </c>
      <c r="K314" s="3">
        <v>0.0</v>
      </c>
      <c r="L314" s="3">
        <v>3.4</v>
      </c>
      <c r="M314" s="3">
        <v>702052.47</v>
      </c>
      <c r="N314" s="3">
        <v>121732.51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 t="s">
        <v>100</v>
      </c>
      <c r="B315" s="4">
        <v>45689.0</v>
      </c>
      <c r="C315" s="3" t="s">
        <v>20</v>
      </c>
      <c r="D315" s="3" t="s">
        <v>16</v>
      </c>
      <c r="E315" s="3">
        <v>46767.99</v>
      </c>
      <c r="F315" s="3">
        <v>7973.0</v>
      </c>
      <c r="G315" s="3">
        <v>0.183</v>
      </c>
      <c r="H315" s="3">
        <v>18.0</v>
      </c>
      <c r="I315" s="3">
        <v>94.8</v>
      </c>
      <c r="J315" s="3">
        <v>4.67</v>
      </c>
      <c r="K315" s="3">
        <v>0.0</v>
      </c>
      <c r="L315" s="5"/>
      <c r="M315" s="3">
        <v>688368.46</v>
      </c>
      <c r="N315" s="3">
        <v>93588.42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 t="s">
        <v>100</v>
      </c>
      <c r="B316" s="4">
        <v>45717.0</v>
      </c>
      <c r="C316" s="3" t="s">
        <v>20</v>
      </c>
      <c r="D316" s="3" t="s">
        <v>16</v>
      </c>
      <c r="E316" s="3">
        <v>62507.16</v>
      </c>
      <c r="F316" s="3">
        <v>6000.0</v>
      </c>
      <c r="G316" s="3">
        <v>0.091</v>
      </c>
      <c r="H316" s="3">
        <v>14.0</v>
      </c>
      <c r="I316" s="3">
        <v>98.2</v>
      </c>
      <c r="J316" s="3">
        <v>4.38</v>
      </c>
      <c r="K316" s="3">
        <v>1.0</v>
      </c>
      <c r="L316" s="3">
        <v>3.9</v>
      </c>
      <c r="M316" s="3">
        <v>712375.77</v>
      </c>
      <c r="N316" s="3">
        <v>104171.53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 t="s">
        <v>100</v>
      </c>
      <c r="B317" s="4">
        <v>45748.0</v>
      </c>
      <c r="C317" s="3" t="s">
        <v>20</v>
      </c>
      <c r="D317" s="3" t="s">
        <v>16</v>
      </c>
      <c r="E317" s="3">
        <v>66456.28</v>
      </c>
      <c r="F317" s="3">
        <v>9967.0</v>
      </c>
      <c r="G317" s="3">
        <v>0.108</v>
      </c>
      <c r="H317" s="3">
        <v>20.0</v>
      </c>
      <c r="I317" s="3">
        <v>94.7</v>
      </c>
      <c r="J317" s="3">
        <v>4.48</v>
      </c>
      <c r="K317" s="3">
        <v>0.0</v>
      </c>
      <c r="L317" s="3">
        <v>4.2</v>
      </c>
      <c r="M317" s="3">
        <v>844710.67</v>
      </c>
      <c r="N317" s="3">
        <v>137140.18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 t="s">
        <v>101</v>
      </c>
      <c r="B318" s="4">
        <v>45658.0</v>
      </c>
      <c r="C318" s="3" t="s">
        <v>15</v>
      </c>
      <c r="D318" s="3" t="s">
        <v>16</v>
      </c>
      <c r="E318" s="3">
        <v>76614.32</v>
      </c>
      <c r="F318" s="3">
        <v>5639.0</v>
      </c>
      <c r="G318" s="3">
        <v>0.174</v>
      </c>
      <c r="H318" s="3">
        <v>15.0</v>
      </c>
      <c r="I318" s="3">
        <v>92.9</v>
      </c>
      <c r="J318" s="3">
        <v>1.02</v>
      </c>
      <c r="K318" s="3">
        <v>1.0</v>
      </c>
      <c r="L318" s="3">
        <v>4.0</v>
      </c>
      <c r="M318" s="3">
        <v>620264.2</v>
      </c>
      <c r="N318" s="3">
        <v>91365.64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 t="s">
        <v>101</v>
      </c>
      <c r="B319" s="4">
        <v>45689.0</v>
      </c>
      <c r="C319" s="3" t="s">
        <v>15</v>
      </c>
      <c r="D319" s="3" t="s">
        <v>16</v>
      </c>
      <c r="E319" s="3">
        <v>24088.06</v>
      </c>
      <c r="F319" s="3">
        <v>3466.0</v>
      </c>
      <c r="G319" s="3">
        <v>0.0</v>
      </c>
      <c r="H319" s="3">
        <v>11.0</v>
      </c>
      <c r="I319" s="3">
        <v>88.0</v>
      </c>
      <c r="J319" s="3">
        <v>0.2</v>
      </c>
      <c r="K319" s="3">
        <v>0.0</v>
      </c>
      <c r="L319" s="3">
        <v>3.8</v>
      </c>
      <c r="M319" s="3">
        <v>536845.42</v>
      </c>
      <c r="N319" s="3">
        <v>107473.75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 t="s">
        <v>101</v>
      </c>
      <c r="B320" s="4">
        <v>45717.0</v>
      </c>
      <c r="C320" s="3" t="s">
        <v>15</v>
      </c>
      <c r="D320" s="3" t="s">
        <v>16</v>
      </c>
      <c r="E320" s="3">
        <v>81902.58</v>
      </c>
      <c r="F320" s="3">
        <v>7775.0</v>
      </c>
      <c r="G320" s="3">
        <v>0.215</v>
      </c>
      <c r="H320" s="3">
        <v>20.0</v>
      </c>
      <c r="I320" s="3">
        <v>85.2</v>
      </c>
      <c r="J320" s="3">
        <v>4.89</v>
      </c>
      <c r="K320" s="3">
        <v>1.0</v>
      </c>
      <c r="L320" s="3">
        <v>4.2</v>
      </c>
      <c r="M320" s="3">
        <v>726776.22</v>
      </c>
      <c r="N320" s="3">
        <v>90804.49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 t="s">
        <v>101</v>
      </c>
      <c r="B321" s="4">
        <v>45748.0</v>
      </c>
      <c r="C321" s="3" t="s">
        <v>15</v>
      </c>
      <c r="D321" s="3" t="s">
        <v>16</v>
      </c>
      <c r="E321" s="3">
        <v>40553.11</v>
      </c>
      <c r="F321" s="3">
        <v>5317.0</v>
      </c>
      <c r="G321" s="3">
        <v>0.165</v>
      </c>
      <c r="H321" s="3">
        <v>17.0</v>
      </c>
      <c r="I321" s="3">
        <v>84.3</v>
      </c>
      <c r="J321" s="3">
        <v>11.82</v>
      </c>
      <c r="K321" s="3">
        <v>0.0</v>
      </c>
      <c r="L321" s="3">
        <v>4.1</v>
      </c>
      <c r="M321" s="3">
        <v>559660.84</v>
      </c>
      <c r="N321" s="3">
        <v>71443.61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8.43"/>
    <col customWidth="1" min="3" max="3" width="8.71"/>
    <col customWidth="1" min="4" max="4" width="10.57"/>
    <col customWidth="1" min="5" max="5" width="11.86"/>
    <col customWidth="1" min="6" max="12" width="8.71"/>
    <col customWidth="1" min="13" max="13" width="11.43"/>
    <col customWidth="1" min="14" max="14" width="12.29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4">
        <v>45658.0</v>
      </c>
      <c r="C2" s="3" t="s">
        <v>15</v>
      </c>
      <c r="D2" s="3" t="s">
        <v>16</v>
      </c>
      <c r="E2" s="3">
        <v>70389.11</v>
      </c>
      <c r="F2" s="3">
        <v>8302.0</v>
      </c>
      <c r="G2" s="3">
        <v>0.042</v>
      </c>
      <c r="H2" s="3">
        <v>17.0</v>
      </c>
      <c r="I2" s="3">
        <v>75.0</v>
      </c>
      <c r="J2" s="3">
        <v>5.28</v>
      </c>
      <c r="K2" s="3">
        <v>1.0</v>
      </c>
      <c r="L2" s="3">
        <v>3.1</v>
      </c>
      <c r="M2" s="3">
        <v>658832.62</v>
      </c>
      <c r="N2" s="3">
        <v>84349.93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B3" s="4">
        <v>45689.0</v>
      </c>
      <c r="C3" s="3" t="s">
        <v>15</v>
      </c>
      <c r="D3" s="3" t="s">
        <v>16</v>
      </c>
      <c r="E3" s="3">
        <v>43827.89</v>
      </c>
      <c r="F3" s="3">
        <v>8487.0</v>
      </c>
      <c r="G3" s="3">
        <v>0.168</v>
      </c>
      <c r="H3" s="3">
        <v>23.0</v>
      </c>
      <c r="I3" s="3">
        <v>84.4</v>
      </c>
      <c r="J3" s="3">
        <v>4.31</v>
      </c>
      <c r="K3" s="3">
        <v>0.0</v>
      </c>
      <c r="L3" s="3">
        <v>2.8</v>
      </c>
      <c r="M3" s="3">
        <v>634436.0</v>
      </c>
      <c r="N3" s="3">
        <v>106130.54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14</v>
      </c>
      <c r="B4" s="4">
        <v>45717.0</v>
      </c>
      <c r="C4" s="3" t="s">
        <v>15</v>
      </c>
      <c r="D4" s="3" t="s">
        <v>16</v>
      </c>
      <c r="E4" s="3">
        <v>59921.75</v>
      </c>
      <c r="F4" s="3">
        <v>9113.0</v>
      </c>
      <c r="G4" s="3">
        <v>0.133</v>
      </c>
      <c r="H4" s="3">
        <v>20.0</v>
      </c>
      <c r="I4" s="3">
        <v>88.0</v>
      </c>
      <c r="J4" s="3">
        <v>12.0</v>
      </c>
      <c r="K4" s="3">
        <v>0.0</v>
      </c>
      <c r="L4" s="3">
        <v>3.2</v>
      </c>
      <c r="M4" s="3">
        <v>678722.06</v>
      </c>
      <c r="N4" s="3">
        <v>101883.86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14</v>
      </c>
      <c r="B5" s="4">
        <v>45748.0</v>
      </c>
      <c r="C5" s="3" t="s">
        <v>15</v>
      </c>
      <c r="D5" s="3" t="s">
        <v>16</v>
      </c>
      <c r="E5" s="3">
        <v>56856.63</v>
      </c>
      <c r="F5" s="3">
        <v>9431.0</v>
      </c>
      <c r="G5" s="3">
        <v>0.142</v>
      </c>
      <c r="H5" s="3">
        <v>23.0</v>
      </c>
      <c r="I5" s="3">
        <v>86.9</v>
      </c>
      <c r="J5" s="3">
        <v>4.97</v>
      </c>
      <c r="K5" s="3">
        <v>0.0</v>
      </c>
      <c r="L5" s="3">
        <v>3.4</v>
      </c>
      <c r="M5" s="3">
        <v>658920.3</v>
      </c>
      <c r="N5" s="3">
        <v>97910.37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17</v>
      </c>
      <c r="B6" s="4">
        <v>45658.0</v>
      </c>
      <c r="C6" s="3" t="s">
        <v>15</v>
      </c>
      <c r="D6" s="3" t="s">
        <v>18</v>
      </c>
      <c r="E6" s="3">
        <v>48412.64</v>
      </c>
      <c r="F6" s="3">
        <v>9545.0</v>
      </c>
      <c r="G6" s="3">
        <v>0.231</v>
      </c>
      <c r="H6" s="3">
        <v>21.0</v>
      </c>
      <c r="I6" s="3">
        <v>97.6</v>
      </c>
      <c r="J6" s="3">
        <v>6.94</v>
      </c>
      <c r="K6" s="3">
        <v>1.0</v>
      </c>
      <c r="L6" s="3">
        <v>4.2</v>
      </c>
      <c r="M6" s="3">
        <v>741341.44</v>
      </c>
      <c r="N6" s="3">
        <v>119208.17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17</v>
      </c>
      <c r="B7" s="4">
        <v>45689.0</v>
      </c>
      <c r="C7" s="3" t="s">
        <v>15</v>
      </c>
      <c r="D7" s="3" t="s">
        <v>18</v>
      </c>
      <c r="E7" s="3">
        <v>64811.21</v>
      </c>
      <c r="F7" s="3">
        <v>9792.0</v>
      </c>
      <c r="G7" s="3">
        <v>0.112</v>
      </c>
      <c r="H7" s="3">
        <v>20.0</v>
      </c>
      <c r="I7" s="3">
        <v>84.2</v>
      </c>
      <c r="J7" s="3">
        <v>2.88</v>
      </c>
      <c r="K7" s="3">
        <v>0.0</v>
      </c>
      <c r="L7" s="3">
        <v>4.2</v>
      </c>
      <c r="M7" s="3">
        <v>761835.34</v>
      </c>
      <c r="N7" s="3">
        <v>149602.23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4">
        <v>45717.0</v>
      </c>
      <c r="C8" s="3" t="s">
        <v>15</v>
      </c>
      <c r="D8" s="3" t="s">
        <v>18</v>
      </c>
      <c r="E8" s="3">
        <v>46213.45</v>
      </c>
      <c r="F8" s="3">
        <v>10616.0</v>
      </c>
      <c r="G8" s="3">
        <v>0.122</v>
      </c>
      <c r="H8" s="3">
        <v>22.0</v>
      </c>
      <c r="I8" s="3">
        <v>85.2</v>
      </c>
      <c r="J8" s="3">
        <v>0.2</v>
      </c>
      <c r="K8" s="3">
        <v>1.0</v>
      </c>
      <c r="L8" s="3">
        <v>4.1</v>
      </c>
      <c r="M8" s="3">
        <v>806615.54</v>
      </c>
      <c r="N8" s="3">
        <v>131364.62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17</v>
      </c>
      <c r="B9" s="4">
        <v>45748.0</v>
      </c>
      <c r="C9" s="3" t="s">
        <v>15</v>
      </c>
      <c r="D9" s="3" t="s">
        <v>18</v>
      </c>
      <c r="E9" s="3">
        <v>68148.52</v>
      </c>
      <c r="F9" s="3">
        <v>8567.0</v>
      </c>
      <c r="G9" s="3">
        <v>0.127</v>
      </c>
      <c r="H9" s="3">
        <v>23.0</v>
      </c>
      <c r="I9" s="3">
        <v>95.6</v>
      </c>
      <c r="J9" s="3">
        <v>0.8</v>
      </c>
      <c r="K9" s="3">
        <v>0.0</v>
      </c>
      <c r="L9" s="3">
        <v>3.9</v>
      </c>
      <c r="M9" s="3">
        <v>850164.26</v>
      </c>
      <c r="N9" s="3">
        <v>149262.75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19</v>
      </c>
      <c r="B10" s="4">
        <v>45658.0</v>
      </c>
      <c r="C10" s="3" t="s">
        <v>20</v>
      </c>
      <c r="D10" s="3" t="s">
        <v>21</v>
      </c>
      <c r="E10" s="3">
        <v>71838.86</v>
      </c>
      <c r="F10" s="3">
        <v>10979.0</v>
      </c>
      <c r="G10" s="3">
        <v>0.215</v>
      </c>
      <c r="H10" s="3">
        <v>26.0</v>
      </c>
      <c r="I10" s="3">
        <v>88.6</v>
      </c>
      <c r="J10" s="3">
        <v>7.7</v>
      </c>
      <c r="K10" s="3">
        <v>1.0</v>
      </c>
      <c r="L10" s="3">
        <v>3.8</v>
      </c>
      <c r="M10" s="3">
        <v>930581.7</v>
      </c>
      <c r="N10" s="3">
        <v>136207.98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19</v>
      </c>
      <c r="B11" s="4">
        <v>45689.0</v>
      </c>
      <c r="C11" s="3" t="s">
        <v>20</v>
      </c>
      <c r="D11" s="3" t="s">
        <v>21</v>
      </c>
      <c r="E11" s="3">
        <v>68133.44</v>
      </c>
      <c r="F11" s="3">
        <v>9459.0</v>
      </c>
      <c r="G11" s="3">
        <v>0.22</v>
      </c>
      <c r="H11" s="3">
        <v>21.0</v>
      </c>
      <c r="I11" s="3">
        <v>85.0</v>
      </c>
      <c r="J11" s="3">
        <v>1.91</v>
      </c>
      <c r="K11" s="3">
        <v>0.0</v>
      </c>
      <c r="L11" s="3">
        <v>4.2</v>
      </c>
      <c r="M11" s="3">
        <v>779010.94</v>
      </c>
      <c r="N11" s="3">
        <v>106328.09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19</v>
      </c>
      <c r="B12" s="4">
        <v>45717.0</v>
      </c>
      <c r="C12" s="3" t="s">
        <v>20</v>
      </c>
      <c r="D12" s="3" t="s">
        <v>21</v>
      </c>
      <c r="E12" s="3">
        <v>34285.21</v>
      </c>
      <c r="F12" s="3">
        <v>9172.0</v>
      </c>
      <c r="G12" s="3">
        <v>0.213</v>
      </c>
      <c r="H12" s="3">
        <v>22.0</v>
      </c>
      <c r="I12" s="3">
        <v>88.3</v>
      </c>
      <c r="J12" s="3">
        <v>10.46</v>
      </c>
      <c r="K12" s="3">
        <v>1.0</v>
      </c>
      <c r="L12" s="3">
        <v>3.8</v>
      </c>
      <c r="M12" s="3">
        <v>723060.76</v>
      </c>
      <c r="N12" s="3">
        <v>123131.24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19</v>
      </c>
      <c r="B13" s="4">
        <v>45748.0</v>
      </c>
      <c r="C13" s="3" t="s">
        <v>20</v>
      </c>
      <c r="D13" s="3" t="s">
        <v>21</v>
      </c>
      <c r="E13" s="3">
        <v>67979.88</v>
      </c>
      <c r="F13" s="3">
        <v>11230.0</v>
      </c>
      <c r="G13" s="3">
        <v>0.002</v>
      </c>
      <c r="H13" s="3">
        <v>28.0</v>
      </c>
      <c r="I13" s="3">
        <v>85.3</v>
      </c>
      <c r="J13" s="3">
        <v>7.16</v>
      </c>
      <c r="K13" s="3">
        <v>0.0</v>
      </c>
      <c r="L13" s="3">
        <v>3.8</v>
      </c>
      <c r="M13" s="3">
        <v>910791.94</v>
      </c>
      <c r="N13" s="3">
        <v>158891.28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22</v>
      </c>
      <c r="B14" s="4">
        <v>45658.0</v>
      </c>
      <c r="C14" s="3" t="s">
        <v>15</v>
      </c>
      <c r="D14" s="3" t="s">
        <v>16</v>
      </c>
      <c r="E14" s="3">
        <v>71828.26</v>
      </c>
      <c r="F14" s="3">
        <v>12775.0</v>
      </c>
      <c r="G14" s="3">
        <v>0.116</v>
      </c>
      <c r="H14" s="3">
        <v>30.0</v>
      </c>
      <c r="I14" s="3">
        <v>81.7</v>
      </c>
      <c r="J14" s="3">
        <v>4.24</v>
      </c>
      <c r="K14" s="3">
        <v>1.0</v>
      </c>
      <c r="L14" s="3">
        <v>4.2</v>
      </c>
      <c r="M14" s="3">
        <v>922168.6</v>
      </c>
      <c r="N14" s="3">
        <v>107494.53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22</v>
      </c>
      <c r="B15" s="4">
        <v>45689.0</v>
      </c>
      <c r="C15" s="3" t="s">
        <v>15</v>
      </c>
      <c r="D15" s="3" t="s">
        <v>16</v>
      </c>
      <c r="E15" s="3">
        <v>55716.82</v>
      </c>
      <c r="F15" s="3">
        <v>10054.0</v>
      </c>
      <c r="G15" s="3">
        <v>0.146</v>
      </c>
      <c r="H15" s="3">
        <v>24.0</v>
      </c>
      <c r="I15" s="3">
        <v>84.9</v>
      </c>
      <c r="J15" s="3">
        <v>1.06</v>
      </c>
      <c r="K15" s="3">
        <v>0.0</v>
      </c>
      <c r="L15" s="3">
        <v>4.3</v>
      </c>
      <c r="M15" s="3">
        <v>726606.28</v>
      </c>
      <c r="N15" s="3">
        <v>122729.29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22</v>
      </c>
      <c r="B16" s="4">
        <v>45717.0</v>
      </c>
      <c r="C16" s="3" t="s">
        <v>15</v>
      </c>
      <c r="D16" s="3" t="s">
        <v>16</v>
      </c>
      <c r="E16" s="3">
        <v>59909.51</v>
      </c>
      <c r="F16" s="3">
        <v>8895.0</v>
      </c>
      <c r="G16" s="3">
        <v>0.228</v>
      </c>
      <c r="H16" s="3">
        <v>23.0</v>
      </c>
      <c r="I16" s="3">
        <v>88.8</v>
      </c>
      <c r="J16" s="3">
        <v>0.27</v>
      </c>
      <c r="K16" s="3">
        <v>0.0</v>
      </c>
      <c r="L16" s="3">
        <v>4.3</v>
      </c>
      <c r="M16" s="3">
        <v>746501.09</v>
      </c>
      <c r="N16" s="3">
        <v>136816.72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22</v>
      </c>
      <c r="B17" s="4">
        <v>45748.0</v>
      </c>
      <c r="C17" s="3" t="s">
        <v>15</v>
      </c>
      <c r="D17" s="3" t="s">
        <v>16</v>
      </c>
      <c r="E17" s="3">
        <v>75305.71</v>
      </c>
      <c r="F17" s="3">
        <v>10940.0</v>
      </c>
      <c r="G17" s="3">
        <v>0.006</v>
      </c>
      <c r="H17" s="3">
        <v>26.0</v>
      </c>
      <c r="I17" s="3">
        <v>76.5</v>
      </c>
      <c r="J17" s="3">
        <v>1.32</v>
      </c>
      <c r="K17" s="3">
        <v>0.0</v>
      </c>
      <c r="L17" s="3">
        <v>4.5</v>
      </c>
      <c r="M17" s="3">
        <v>834017.02</v>
      </c>
      <c r="N17" s="3">
        <v>114745.03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23</v>
      </c>
      <c r="B18" s="4">
        <v>45658.0</v>
      </c>
      <c r="C18" s="3" t="s">
        <v>24</v>
      </c>
      <c r="D18" s="3" t="s">
        <v>16</v>
      </c>
      <c r="E18" s="3">
        <v>48804.22</v>
      </c>
      <c r="F18" s="3">
        <v>7057.0</v>
      </c>
      <c r="G18" s="3">
        <v>0.005</v>
      </c>
      <c r="H18" s="3">
        <v>15.0</v>
      </c>
      <c r="I18" s="3">
        <v>87.7</v>
      </c>
      <c r="J18" s="3">
        <v>1.22</v>
      </c>
      <c r="K18" s="3">
        <v>0.0</v>
      </c>
      <c r="L18" s="3">
        <v>3.7</v>
      </c>
      <c r="M18" s="3">
        <v>666152.52</v>
      </c>
      <c r="N18" s="3">
        <v>107490.58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23</v>
      </c>
      <c r="B19" s="4">
        <v>45689.0</v>
      </c>
      <c r="C19" s="3" t="s">
        <v>24</v>
      </c>
      <c r="D19" s="3" t="s">
        <v>16</v>
      </c>
      <c r="E19" s="3">
        <v>59117.9</v>
      </c>
      <c r="F19" s="3">
        <v>4263.0</v>
      </c>
      <c r="G19" s="3">
        <v>0.119</v>
      </c>
      <c r="H19" s="3">
        <v>9.0</v>
      </c>
      <c r="I19" s="3">
        <v>87.6</v>
      </c>
      <c r="J19" s="3">
        <v>4.01</v>
      </c>
      <c r="K19" s="3">
        <v>0.0</v>
      </c>
      <c r="L19" s="3">
        <v>3.6</v>
      </c>
      <c r="M19" s="3">
        <v>573155.19</v>
      </c>
      <c r="N19" s="3">
        <v>83680.75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23</v>
      </c>
      <c r="B20" s="4">
        <v>45717.0</v>
      </c>
      <c r="C20" s="3" t="s">
        <v>24</v>
      </c>
      <c r="D20" s="3" t="s">
        <v>16</v>
      </c>
      <c r="E20" s="3">
        <v>78831.12</v>
      </c>
      <c r="F20" s="3">
        <v>5538.0</v>
      </c>
      <c r="G20" s="3">
        <v>0.0</v>
      </c>
      <c r="H20" s="3">
        <v>15.0</v>
      </c>
      <c r="I20" s="3">
        <v>94.1</v>
      </c>
      <c r="J20" s="3">
        <v>0.2</v>
      </c>
      <c r="K20" s="3">
        <v>0.0</v>
      </c>
      <c r="L20" s="3">
        <v>3.9</v>
      </c>
      <c r="M20" s="3">
        <v>666573.2</v>
      </c>
      <c r="N20" s="3">
        <v>140641.02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23</v>
      </c>
      <c r="B21" s="4">
        <v>45748.0</v>
      </c>
      <c r="C21" s="3" t="s">
        <v>24</v>
      </c>
      <c r="D21" s="3" t="s">
        <v>16</v>
      </c>
      <c r="E21" s="3">
        <v>41441.93</v>
      </c>
      <c r="F21" s="3">
        <v>4865.0</v>
      </c>
      <c r="G21" s="3">
        <v>0.158</v>
      </c>
      <c r="H21" s="3">
        <v>16.0</v>
      </c>
      <c r="I21" s="3">
        <v>88.3</v>
      </c>
      <c r="J21" s="3">
        <v>0.5</v>
      </c>
      <c r="K21" s="3">
        <v>0.0</v>
      </c>
      <c r="L21" s="3">
        <v>4.0</v>
      </c>
      <c r="M21" s="3">
        <v>591619.95</v>
      </c>
      <c r="N21" s="3">
        <v>99521.35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25</v>
      </c>
      <c r="B22" s="4">
        <v>45658.0</v>
      </c>
      <c r="C22" s="3" t="s">
        <v>20</v>
      </c>
      <c r="D22" s="3" t="s">
        <v>16</v>
      </c>
      <c r="E22" s="3">
        <v>30356.28</v>
      </c>
      <c r="F22" s="3">
        <v>2822.0</v>
      </c>
      <c r="G22" s="3">
        <v>0.231</v>
      </c>
      <c r="H22" s="3">
        <v>9.0</v>
      </c>
      <c r="I22" s="3">
        <v>84.8</v>
      </c>
      <c r="J22" s="3">
        <v>6.95</v>
      </c>
      <c r="K22" s="3">
        <v>0.0</v>
      </c>
      <c r="L22" s="3">
        <v>5.0</v>
      </c>
      <c r="M22" s="3">
        <v>415721.82</v>
      </c>
      <c r="N22" s="3">
        <v>61179.15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25</v>
      </c>
      <c r="B23" s="4">
        <v>45689.0</v>
      </c>
      <c r="C23" s="3" t="s">
        <v>20</v>
      </c>
      <c r="D23" s="3" t="s">
        <v>16</v>
      </c>
      <c r="E23" s="3">
        <v>33518.88</v>
      </c>
      <c r="F23" s="3">
        <v>2121.0</v>
      </c>
      <c r="G23" s="3">
        <v>0.176</v>
      </c>
      <c r="H23" s="3">
        <v>8.0</v>
      </c>
      <c r="I23" s="3">
        <v>88.5</v>
      </c>
      <c r="J23" s="3">
        <v>0.2</v>
      </c>
      <c r="K23" s="3">
        <v>0.0</v>
      </c>
      <c r="L23" s="3">
        <v>5.0</v>
      </c>
      <c r="M23" s="3">
        <v>491905.13</v>
      </c>
      <c r="N23" s="3">
        <v>79212.26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25</v>
      </c>
      <c r="B24" s="4">
        <v>45717.0</v>
      </c>
      <c r="C24" s="3" t="s">
        <v>20</v>
      </c>
      <c r="D24" s="3" t="s">
        <v>16</v>
      </c>
      <c r="E24" s="3">
        <v>42267.37</v>
      </c>
      <c r="F24" s="3">
        <v>3364.0</v>
      </c>
      <c r="G24" s="3">
        <v>0.16</v>
      </c>
      <c r="H24" s="3">
        <v>13.0</v>
      </c>
      <c r="I24" s="3">
        <v>82.0</v>
      </c>
      <c r="J24" s="3">
        <v>1.61</v>
      </c>
      <c r="K24" s="3">
        <v>1.0</v>
      </c>
      <c r="L24" s="3">
        <v>4.6</v>
      </c>
      <c r="M24" s="3">
        <v>555929.4</v>
      </c>
      <c r="N24" s="3">
        <v>115201.76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25</v>
      </c>
      <c r="B25" s="4">
        <v>45748.0</v>
      </c>
      <c r="C25" s="3" t="s">
        <v>20</v>
      </c>
      <c r="D25" s="3" t="s">
        <v>16</v>
      </c>
      <c r="E25" s="3">
        <v>62060.43</v>
      </c>
      <c r="F25" s="3">
        <v>2613.0</v>
      </c>
      <c r="G25" s="3">
        <v>0.216</v>
      </c>
      <c r="H25" s="3">
        <v>12.0</v>
      </c>
      <c r="I25" s="3">
        <v>92.1</v>
      </c>
      <c r="J25" s="3">
        <v>1.55</v>
      </c>
      <c r="K25" s="3">
        <v>0.0</v>
      </c>
      <c r="L25" s="3">
        <v>4.7</v>
      </c>
      <c r="M25" s="3">
        <v>565810.99</v>
      </c>
      <c r="N25" s="3">
        <v>77825.46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26</v>
      </c>
      <c r="B26" s="4">
        <v>45658.0</v>
      </c>
      <c r="C26" s="3" t="s">
        <v>27</v>
      </c>
      <c r="D26" s="3" t="s">
        <v>28</v>
      </c>
      <c r="E26" s="3">
        <v>57696.69</v>
      </c>
      <c r="F26" s="3">
        <v>10218.0</v>
      </c>
      <c r="G26" s="3">
        <v>0.121</v>
      </c>
      <c r="H26" s="3">
        <v>25.0</v>
      </c>
      <c r="I26" s="3">
        <v>94.8</v>
      </c>
      <c r="J26" s="3">
        <v>2.99</v>
      </c>
      <c r="K26" s="3">
        <v>0.0</v>
      </c>
      <c r="L26" s="3">
        <v>3.5</v>
      </c>
      <c r="M26" s="3">
        <v>811771.14</v>
      </c>
      <c r="N26" s="3">
        <v>148756.24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 t="s">
        <v>26</v>
      </c>
      <c r="B27" s="4">
        <v>45689.0</v>
      </c>
      <c r="C27" s="3" t="s">
        <v>27</v>
      </c>
      <c r="D27" s="3" t="s">
        <v>28</v>
      </c>
      <c r="E27" s="3">
        <v>172415.52</v>
      </c>
      <c r="F27" s="3">
        <v>8927.0</v>
      </c>
      <c r="G27" s="3">
        <v>0.14</v>
      </c>
      <c r="H27" s="3">
        <v>22.0</v>
      </c>
      <c r="I27" s="3">
        <v>86.2</v>
      </c>
      <c r="J27" s="3">
        <v>7.04</v>
      </c>
      <c r="K27" s="3">
        <v>0.0</v>
      </c>
      <c r="L27" s="3">
        <v>3.9</v>
      </c>
      <c r="M27" s="3">
        <v>800451.94</v>
      </c>
      <c r="N27" s="3">
        <v>111572.29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26</v>
      </c>
      <c r="B28" s="4">
        <v>45717.0</v>
      </c>
      <c r="C28" s="3" t="s">
        <v>27</v>
      </c>
      <c r="D28" s="3" t="s">
        <v>28</v>
      </c>
      <c r="E28" s="3">
        <v>55270.52</v>
      </c>
      <c r="F28" s="3">
        <v>9315.0</v>
      </c>
      <c r="G28" s="3">
        <v>0.169</v>
      </c>
      <c r="H28" s="3">
        <v>23.0</v>
      </c>
      <c r="I28" s="3">
        <v>91.9</v>
      </c>
      <c r="J28" s="3">
        <v>4.94</v>
      </c>
      <c r="K28" s="3">
        <v>0.0</v>
      </c>
      <c r="L28" s="3">
        <v>4.0</v>
      </c>
      <c r="M28" s="3">
        <v>783672.82</v>
      </c>
      <c r="N28" s="3">
        <v>112577.14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 t="s">
        <v>26</v>
      </c>
      <c r="B29" s="4">
        <v>45748.0</v>
      </c>
      <c r="C29" s="3" t="s">
        <v>27</v>
      </c>
      <c r="D29" s="3" t="s">
        <v>28</v>
      </c>
      <c r="E29" s="3">
        <v>52715.1</v>
      </c>
      <c r="F29" s="3">
        <v>7223.0</v>
      </c>
      <c r="G29" s="3">
        <v>0.122</v>
      </c>
      <c r="H29" s="3">
        <v>16.0</v>
      </c>
      <c r="I29" s="3">
        <v>84.2</v>
      </c>
      <c r="J29" s="3">
        <v>16.15</v>
      </c>
      <c r="K29" s="3">
        <v>0.0</v>
      </c>
      <c r="L29" s="3">
        <v>3.7</v>
      </c>
      <c r="M29" s="3">
        <v>701641.97</v>
      </c>
      <c r="N29" s="3">
        <v>106111.86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 t="s">
        <v>29</v>
      </c>
      <c r="B30" s="4">
        <v>45658.0</v>
      </c>
      <c r="C30" s="3" t="s">
        <v>15</v>
      </c>
      <c r="D30" s="3" t="s">
        <v>16</v>
      </c>
      <c r="E30" s="3">
        <v>68600.62</v>
      </c>
      <c r="F30" s="3">
        <v>3988.0</v>
      </c>
      <c r="G30" s="3">
        <v>0.124</v>
      </c>
      <c r="H30" s="3">
        <v>11.0</v>
      </c>
      <c r="I30" s="3">
        <v>85.0</v>
      </c>
      <c r="J30" s="3">
        <v>0.48</v>
      </c>
      <c r="K30" s="3">
        <v>0.0</v>
      </c>
      <c r="L30" s="3">
        <v>3.6</v>
      </c>
      <c r="M30" s="3">
        <v>511844.41</v>
      </c>
      <c r="N30" s="3">
        <v>72774.44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29</v>
      </c>
      <c r="B31" s="4">
        <v>45689.0</v>
      </c>
      <c r="C31" s="3" t="s">
        <v>15</v>
      </c>
      <c r="D31" s="3" t="s">
        <v>16</v>
      </c>
      <c r="E31" s="3">
        <v>63176.73</v>
      </c>
      <c r="F31" s="3">
        <v>2390.0</v>
      </c>
      <c r="G31" s="3">
        <v>0.216</v>
      </c>
      <c r="H31" s="3">
        <v>9.0</v>
      </c>
      <c r="I31" s="3">
        <v>87.5</v>
      </c>
      <c r="J31" s="3">
        <v>0.31</v>
      </c>
      <c r="K31" s="3">
        <v>0.0</v>
      </c>
      <c r="L31" s="3">
        <v>3.1</v>
      </c>
      <c r="M31" s="3">
        <v>537383.79</v>
      </c>
      <c r="N31" s="3">
        <v>63773.27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29</v>
      </c>
      <c r="B32" s="4">
        <v>45717.0</v>
      </c>
      <c r="C32" s="3" t="s">
        <v>15</v>
      </c>
      <c r="D32" s="3" t="s">
        <v>16</v>
      </c>
      <c r="E32" s="3">
        <v>44970.08</v>
      </c>
      <c r="F32" s="3">
        <v>2471.0</v>
      </c>
      <c r="G32" s="3">
        <v>0.136</v>
      </c>
      <c r="H32" s="3">
        <v>11.0</v>
      </c>
      <c r="I32" s="3">
        <v>87.6</v>
      </c>
      <c r="J32" s="3">
        <v>3.01</v>
      </c>
      <c r="K32" s="3">
        <v>1.0</v>
      </c>
      <c r="L32" s="3">
        <v>3.7</v>
      </c>
      <c r="M32" s="3">
        <v>500173.02</v>
      </c>
      <c r="N32" s="3">
        <v>70982.05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29</v>
      </c>
      <c r="B33" s="4">
        <v>45748.0</v>
      </c>
      <c r="C33" s="3" t="s">
        <v>15</v>
      </c>
      <c r="D33" s="3" t="s">
        <v>16</v>
      </c>
      <c r="E33" s="3">
        <v>69816.35</v>
      </c>
      <c r="F33" s="3">
        <v>971.0</v>
      </c>
      <c r="G33" s="3">
        <v>0.168</v>
      </c>
      <c r="H33" s="3">
        <v>5.0</v>
      </c>
      <c r="I33" s="3">
        <v>89.9</v>
      </c>
      <c r="J33" s="3">
        <v>12.15</v>
      </c>
      <c r="K33" s="3">
        <v>0.0</v>
      </c>
      <c r="L33" s="3">
        <v>3.6</v>
      </c>
      <c r="M33" s="3">
        <v>427917.38</v>
      </c>
      <c r="N33" s="3">
        <v>81824.31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30</v>
      </c>
      <c r="B34" s="4">
        <v>45658.0</v>
      </c>
      <c r="C34" s="3" t="s">
        <v>20</v>
      </c>
      <c r="D34" s="3" t="s">
        <v>16</v>
      </c>
      <c r="E34" s="3">
        <v>54597.83</v>
      </c>
      <c r="F34" s="3">
        <v>9429.0</v>
      </c>
      <c r="G34" s="3">
        <v>0.188</v>
      </c>
      <c r="H34" s="3">
        <v>21.0</v>
      </c>
      <c r="I34" s="3">
        <v>83.3</v>
      </c>
      <c r="J34" s="3">
        <v>11.71</v>
      </c>
      <c r="K34" s="3">
        <v>0.0</v>
      </c>
      <c r="L34" s="3">
        <v>4.2</v>
      </c>
      <c r="M34" s="3">
        <v>641865.03</v>
      </c>
      <c r="N34" s="3">
        <v>81342.58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30</v>
      </c>
      <c r="B35" s="4">
        <v>45689.0</v>
      </c>
      <c r="C35" s="3" t="s">
        <v>20</v>
      </c>
      <c r="D35" s="3" t="s">
        <v>16</v>
      </c>
      <c r="E35" s="3">
        <v>73771.91</v>
      </c>
      <c r="F35" s="3">
        <v>11695.0</v>
      </c>
      <c r="G35" s="3">
        <v>0.07</v>
      </c>
      <c r="H35" s="3">
        <v>25.0</v>
      </c>
      <c r="I35" s="3">
        <v>84.7</v>
      </c>
      <c r="J35" s="3">
        <v>0.62</v>
      </c>
      <c r="K35" s="3">
        <v>0.0</v>
      </c>
      <c r="L35" s="3">
        <v>3.9</v>
      </c>
      <c r="M35" s="3">
        <v>799477.76</v>
      </c>
      <c r="N35" s="3">
        <v>164974.41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30</v>
      </c>
      <c r="B36" s="4">
        <v>45717.0</v>
      </c>
      <c r="C36" s="3" t="s">
        <v>20</v>
      </c>
      <c r="D36" s="3" t="s">
        <v>16</v>
      </c>
      <c r="E36" s="3">
        <v>74413.88</v>
      </c>
      <c r="F36" s="3">
        <v>9449.0</v>
      </c>
      <c r="G36" s="3">
        <v>0.039</v>
      </c>
      <c r="H36" s="3">
        <v>23.0</v>
      </c>
      <c r="I36" s="3">
        <v>92.1</v>
      </c>
      <c r="J36" s="3">
        <v>2.12</v>
      </c>
      <c r="K36" s="3">
        <v>0.0</v>
      </c>
      <c r="L36" s="3">
        <v>3.5</v>
      </c>
      <c r="M36" s="3">
        <v>798952.17</v>
      </c>
      <c r="N36" s="3">
        <v>161499.04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30</v>
      </c>
      <c r="B37" s="4">
        <v>45748.0</v>
      </c>
      <c r="C37" s="3" t="s">
        <v>20</v>
      </c>
      <c r="D37" s="3" t="s">
        <v>16</v>
      </c>
      <c r="E37" s="3">
        <v>52483.77</v>
      </c>
      <c r="F37" s="3">
        <v>10453.0</v>
      </c>
      <c r="G37" s="3">
        <v>0.247</v>
      </c>
      <c r="H37" s="3">
        <v>25.0</v>
      </c>
      <c r="I37" s="3">
        <v>99.0</v>
      </c>
      <c r="J37" s="3">
        <v>6.31</v>
      </c>
      <c r="K37" s="3">
        <v>0.0</v>
      </c>
      <c r="L37" s="3">
        <v>3.6</v>
      </c>
      <c r="M37" s="3">
        <v>800979.78</v>
      </c>
      <c r="N37" s="3">
        <v>149242.27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31</v>
      </c>
      <c r="B38" s="4">
        <v>45658.0</v>
      </c>
      <c r="C38" s="3" t="s">
        <v>20</v>
      </c>
      <c r="D38" s="3" t="s">
        <v>28</v>
      </c>
      <c r="E38" s="3">
        <v>75269.87</v>
      </c>
      <c r="F38" s="3">
        <v>8838.0</v>
      </c>
      <c r="G38" s="3">
        <v>0.092</v>
      </c>
      <c r="H38" s="3">
        <v>21.0</v>
      </c>
      <c r="I38" s="3">
        <v>83.1</v>
      </c>
      <c r="J38" s="3">
        <v>9.56</v>
      </c>
      <c r="K38" s="3">
        <v>1.0</v>
      </c>
      <c r="L38" s="3">
        <v>4.2</v>
      </c>
      <c r="M38" s="3">
        <v>820593.93</v>
      </c>
      <c r="N38" s="3">
        <v>115860.06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31</v>
      </c>
      <c r="B39" s="4">
        <v>45689.0</v>
      </c>
      <c r="C39" s="3" t="s">
        <v>20</v>
      </c>
      <c r="D39" s="3" t="s">
        <v>28</v>
      </c>
      <c r="E39" s="3">
        <v>61245.41</v>
      </c>
      <c r="F39" s="3">
        <v>8156.0</v>
      </c>
      <c r="G39" s="3">
        <v>0.156</v>
      </c>
      <c r="H39" s="3">
        <v>19.0</v>
      </c>
      <c r="I39" s="3">
        <v>92.9</v>
      </c>
      <c r="J39" s="3">
        <v>9.05</v>
      </c>
      <c r="K39" s="3">
        <v>0.0</v>
      </c>
      <c r="L39" s="3">
        <v>3.8</v>
      </c>
      <c r="M39" s="3">
        <v>718330.53</v>
      </c>
      <c r="N39" s="3">
        <v>93247.9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31</v>
      </c>
      <c r="B40" s="4">
        <v>45717.0</v>
      </c>
      <c r="C40" s="3" t="s">
        <v>20</v>
      </c>
      <c r="D40" s="3" t="s">
        <v>28</v>
      </c>
      <c r="E40" s="3">
        <v>93381.26</v>
      </c>
      <c r="F40" s="3">
        <v>7562.0</v>
      </c>
      <c r="G40" s="3">
        <v>0.198</v>
      </c>
      <c r="H40" s="3">
        <v>19.0</v>
      </c>
      <c r="I40" s="3">
        <v>82.9</v>
      </c>
      <c r="J40" s="3">
        <v>5.05</v>
      </c>
      <c r="K40" s="3">
        <v>0.0</v>
      </c>
      <c r="L40" s="3">
        <v>4.0</v>
      </c>
      <c r="M40" s="3">
        <v>736633.4</v>
      </c>
      <c r="N40" s="3">
        <v>115654.66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31</v>
      </c>
      <c r="B41" s="4">
        <v>45748.0</v>
      </c>
      <c r="C41" s="3" t="s">
        <v>20</v>
      </c>
      <c r="D41" s="3" t="s">
        <v>28</v>
      </c>
      <c r="E41" s="3">
        <v>65012.19</v>
      </c>
      <c r="F41" s="3">
        <v>9598.0</v>
      </c>
      <c r="G41" s="3">
        <v>0.085</v>
      </c>
      <c r="H41" s="3">
        <v>24.0</v>
      </c>
      <c r="I41" s="3">
        <v>98.3</v>
      </c>
      <c r="J41" s="3">
        <v>0.89</v>
      </c>
      <c r="K41" s="3">
        <v>0.0</v>
      </c>
      <c r="L41" s="3">
        <v>3.8</v>
      </c>
      <c r="M41" s="3">
        <v>828623.85</v>
      </c>
      <c r="N41" s="3">
        <v>167320.52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32</v>
      </c>
      <c r="B42" s="4">
        <v>45658.0</v>
      </c>
      <c r="C42" s="3" t="s">
        <v>15</v>
      </c>
      <c r="D42" s="3" t="s">
        <v>28</v>
      </c>
      <c r="E42" s="3">
        <v>40462.94</v>
      </c>
      <c r="F42" s="3">
        <v>3660.0</v>
      </c>
      <c r="G42" s="3">
        <v>0.218</v>
      </c>
      <c r="H42" s="3">
        <v>11.0</v>
      </c>
      <c r="I42" s="3">
        <v>95.2</v>
      </c>
      <c r="J42" s="3">
        <v>5.57</v>
      </c>
      <c r="K42" s="3">
        <v>0.0</v>
      </c>
      <c r="L42" s="3">
        <v>4.4</v>
      </c>
      <c r="M42" s="3">
        <v>592195.85</v>
      </c>
      <c r="N42" s="3">
        <v>92291.56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 t="s">
        <v>32</v>
      </c>
      <c r="B43" s="4">
        <v>45689.0</v>
      </c>
      <c r="C43" s="3" t="s">
        <v>15</v>
      </c>
      <c r="D43" s="3" t="s">
        <v>28</v>
      </c>
      <c r="E43" s="3">
        <v>46123.88</v>
      </c>
      <c r="F43" s="3">
        <v>3227.0</v>
      </c>
      <c r="G43" s="3">
        <v>0.143</v>
      </c>
      <c r="H43" s="3">
        <v>10.0</v>
      </c>
      <c r="I43" s="3">
        <v>75.4</v>
      </c>
      <c r="J43" s="3">
        <v>1.06</v>
      </c>
      <c r="K43" s="3">
        <v>0.0</v>
      </c>
      <c r="L43" s="3">
        <v>4.4</v>
      </c>
      <c r="M43" s="3">
        <v>532644.46</v>
      </c>
      <c r="N43" s="3">
        <v>60681.32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 t="s">
        <v>32</v>
      </c>
      <c r="B44" s="4">
        <v>45717.0</v>
      </c>
      <c r="C44" s="3" t="s">
        <v>15</v>
      </c>
      <c r="D44" s="3" t="s">
        <v>28</v>
      </c>
      <c r="E44" s="3">
        <v>68077.54</v>
      </c>
      <c r="F44" s="3">
        <v>3360.0</v>
      </c>
      <c r="G44" s="3">
        <v>0.128</v>
      </c>
      <c r="H44" s="3">
        <v>14.0</v>
      </c>
      <c r="I44" s="3">
        <v>88.2</v>
      </c>
      <c r="J44" s="3">
        <v>1.24</v>
      </c>
      <c r="K44" s="3">
        <v>1.0</v>
      </c>
      <c r="L44" s="3">
        <v>4.0</v>
      </c>
      <c r="M44" s="3">
        <v>657429.18</v>
      </c>
      <c r="N44" s="3">
        <v>88919.74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 t="s">
        <v>32</v>
      </c>
      <c r="B45" s="4">
        <v>45748.0</v>
      </c>
      <c r="C45" s="3" t="s">
        <v>15</v>
      </c>
      <c r="D45" s="3" t="s">
        <v>28</v>
      </c>
      <c r="E45" s="3">
        <v>64882.14</v>
      </c>
      <c r="F45" s="3">
        <v>3642.0</v>
      </c>
      <c r="G45" s="3">
        <v>0.019</v>
      </c>
      <c r="H45" s="3">
        <v>13.0</v>
      </c>
      <c r="I45" s="3">
        <v>87.8</v>
      </c>
      <c r="J45" s="3">
        <v>4.52</v>
      </c>
      <c r="K45" s="3">
        <v>0.0</v>
      </c>
      <c r="L45" s="3">
        <v>4.2</v>
      </c>
      <c r="M45" s="3">
        <v>605178.0</v>
      </c>
      <c r="N45" s="3">
        <v>106958.74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 t="s">
        <v>33</v>
      </c>
      <c r="B46" s="4">
        <v>45658.0</v>
      </c>
      <c r="C46" s="3" t="s">
        <v>27</v>
      </c>
      <c r="D46" s="3" t="s">
        <v>16</v>
      </c>
      <c r="E46" s="3">
        <v>138855.51</v>
      </c>
      <c r="F46" s="3">
        <v>5145.0</v>
      </c>
      <c r="G46" s="3">
        <v>0.06</v>
      </c>
      <c r="H46" s="3">
        <v>17.0</v>
      </c>
      <c r="I46" s="3">
        <v>88.2</v>
      </c>
      <c r="J46" s="3">
        <v>9.58</v>
      </c>
      <c r="K46" s="3">
        <v>0.0</v>
      </c>
      <c r="L46" s="3">
        <v>3.2</v>
      </c>
      <c r="M46" s="3">
        <v>595467.6</v>
      </c>
      <c r="N46" s="3">
        <v>104276.46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 t="s">
        <v>33</v>
      </c>
      <c r="B47" s="4">
        <v>45689.0</v>
      </c>
      <c r="C47" s="3" t="s">
        <v>27</v>
      </c>
      <c r="D47" s="3" t="s">
        <v>16</v>
      </c>
      <c r="E47" s="3">
        <v>63630.21</v>
      </c>
      <c r="F47" s="3">
        <v>4460.0</v>
      </c>
      <c r="G47" s="3">
        <v>0.235</v>
      </c>
      <c r="H47" s="3">
        <v>14.0</v>
      </c>
      <c r="I47" s="3">
        <v>98.6</v>
      </c>
      <c r="J47" s="3">
        <v>5.52</v>
      </c>
      <c r="K47" s="3">
        <v>0.0</v>
      </c>
      <c r="L47" s="3">
        <v>3.5</v>
      </c>
      <c r="M47" s="3">
        <v>599603.4</v>
      </c>
      <c r="N47" s="3">
        <v>112685.12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 t="s">
        <v>33</v>
      </c>
      <c r="B48" s="4">
        <v>45717.0</v>
      </c>
      <c r="C48" s="3" t="s">
        <v>27</v>
      </c>
      <c r="D48" s="3" t="s">
        <v>16</v>
      </c>
      <c r="E48" s="3">
        <v>50043.65</v>
      </c>
      <c r="F48" s="3">
        <v>3804.0</v>
      </c>
      <c r="G48" s="3">
        <v>0.113</v>
      </c>
      <c r="H48" s="3">
        <v>11.0</v>
      </c>
      <c r="I48" s="3">
        <v>90.9</v>
      </c>
      <c r="J48" s="3">
        <v>2.7</v>
      </c>
      <c r="K48" s="3">
        <v>1.0</v>
      </c>
      <c r="L48" s="3">
        <v>3.2</v>
      </c>
      <c r="M48" s="3">
        <v>614800.09</v>
      </c>
      <c r="N48" s="3">
        <v>100044.2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 t="s">
        <v>33</v>
      </c>
      <c r="B49" s="4">
        <v>45748.0</v>
      </c>
      <c r="C49" s="3" t="s">
        <v>27</v>
      </c>
      <c r="D49" s="3" t="s">
        <v>16</v>
      </c>
      <c r="E49" s="3">
        <v>42093.84</v>
      </c>
      <c r="F49" s="3">
        <v>4074.0</v>
      </c>
      <c r="G49" s="3">
        <v>0.155</v>
      </c>
      <c r="H49" s="3">
        <v>15.0</v>
      </c>
      <c r="I49" s="3">
        <v>88.0</v>
      </c>
      <c r="J49" s="3">
        <v>9.64</v>
      </c>
      <c r="K49" s="3">
        <v>0.0</v>
      </c>
      <c r="L49" s="3">
        <v>3.3</v>
      </c>
      <c r="M49" s="3">
        <v>585365.73</v>
      </c>
      <c r="N49" s="3">
        <v>81011.52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 t="s">
        <v>34</v>
      </c>
      <c r="B50" s="4">
        <v>45658.0</v>
      </c>
      <c r="C50" s="3" t="s">
        <v>20</v>
      </c>
      <c r="D50" s="3" t="s">
        <v>28</v>
      </c>
      <c r="E50" s="3">
        <v>46624.05</v>
      </c>
      <c r="F50" s="3">
        <v>5104.0</v>
      </c>
      <c r="G50" s="3">
        <v>0.109</v>
      </c>
      <c r="H50" s="3">
        <v>11.0</v>
      </c>
      <c r="I50" s="3">
        <v>97.3</v>
      </c>
      <c r="J50" s="3">
        <v>3.49</v>
      </c>
      <c r="K50" s="3">
        <v>1.0</v>
      </c>
      <c r="L50" s="3">
        <v>4.7</v>
      </c>
      <c r="M50" s="3">
        <v>622811.74</v>
      </c>
      <c r="N50" s="3">
        <v>109978.35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 t="s">
        <v>34</v>
      </c>
      <c r="B51" s="4">
        <v>45689.0</v>
      </c>
      <c r="C51" s="3" t="s">
        <v>20</v>
      </c>
      <c r="D51" s="3" t="s">
        <v>28</v>
      </c>
      <c r="E51" s="3">
        <v>49710.29</v>
      </c>
      <c r="F51" s="3">
        <v>5559.0</v>
      </c>
      <c r="G51" s="3">
        <v>0.218</v>
      </c>
      <c r="H51" s="3">
        <v>14.0</v>
      </c>
      <c r="I51" s="3">
        <v>71.0</v>
      </c>
      <c r="J51" s="3">
        <v>9.11</v>
      </c>
      <c r="K51" s="3">
        <v>0.0</v>
      </c>
      <c r="L51" s="3">
        <v>4.6</v>
      </c>
      <c r="M51" s="3">
        <v>603297.57</v>
      </c>
      <c r="N51" s="3">
        <v>60592.26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 t="s">
        <v>34</v>
      </c>
      <c r="B52" s="4">
        <v>45717.0</v>
      </c>
      <c r="C52" s="3" t="s">
        <v>20</v>
      </c>
      <c r="D52" s="3" t="s">
        <v>28</v>
      </c>
      <c r="E52" s="3">
        <v>48287.85</v>
      </c>
      <c r="F52" s="3">
        <v>5150.0</v>
      </c>
      <c r="G52" s="3">
        <v>0.008</v>
      </c>
      <c r="H52" s="3">
        <v>12.0</v>
      </c>
      <c r="I52" s="3">
        <v>80.4</v>
      </c>
      <c r="J52" s="3">
        <v>7.4</v>
      </c>
      <c r="K52" s="3">
        <v>0.0</v>
      </c>
      <c r="L52" s="3">
        <v>4.5</v>
      </c>
      <c r="M52" s="3">
        <v>625672.86</v>
      </c>
      <c r="N52" s="3">
        <v>118020.12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 t="s">
        <v>34</v>
      </c>
      <c r="B53" s="4">
        <v>45748.0</v>
      </c>
      <c r="C53" s="3" t="s">
        <v>20</v>
      </c>
      <c r="D53" s="3" t="s">
        <v>28</v>
      </c>
      <c r="E53" s="3">
        <v>65312.49</v>
      </c>
      <c r="F53" s="3">
        <v>7189.0</v>
      </c>
      <c r="G53" s="3">
        <v>0.05</v>
      </c>
      <c r="H53" s="3">
        <v>19.0</v>
      </c>
      <c r="I53" s="3">
        <v>93.7</v>
      </c>
      <c r="J53" s="3">
        <v>7.16</v>
      </c>
      <c r="K53" s="3">
        <v>0.0</v>
      </c>
      <c r="L53" s="3">
        <v>4.6</v>
      </c>
      <c r="M53" s="3">
        <v>773815.14</v>
      </c>
      <c r="N53" s="3">
        <v>133948.39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 t="s">
        <v>35</v>
      </c>
      <c r="B54" s="4">
        <v>45658.0</v>
      </c>
      <c r="C54" s="3" t="s">
        <v>27</v>
      </c>
      <c r="D54" s="3" t="s">
        <v>18</v>
      </c>
      <c r="E54" s="3">
        <v>53015.46</v>
      </c>
      <c r="F54" s="3">
        <v>3279.0</v>
      </c>
      <c r="G54" s="3">
        <v>0.087</v>
      </c>
      <c r="H54" s="3">
        <v>9.0</v>
      </c>
      <c r="I54" s="3">
        <v>84.3</v>
      </c>
      <c r="J54" s="3">
        <v>22.02</v>
      </c>
      <c r="K54" s="3">
        <v>0.0</v>
      </c>
      <c r="L54" s="3">
        <v>3.9</v>
      </c>
      <c r="M54" s="3">
        <v>463534.25</v>
      </c>
      <c r="N54" s="3">
        <v>81834.54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 t="s">
        <v>35</v>
      </c>
      <c r="B55" s="4">
        <v>45689.0</v>
      </c>
      <c r="C55" s="3" t="s">
        <v>27</v>
      </c>
      <c r="D55" s="3" t="s">
        <v>18</v>
      </c>
      <c r="E55" s="3">
        <v>99874.01</v>
      </c>
      <c r="F55" s="3">
        <v>5887.0</v>
      </c>
      <c r="G55" s="3">
        <v>0.262</v>
      </c>
      <c r="H55" s="3">
        <v>14.0</v>
      </c>
      <c r="I55" s="3">
        <v>88.7</v>
      </c>
      <c r="J55" s="3">
        <v>6.18</v>
      </c>
      <c r="K55" s="3">
        <v>0.0</v>
      </c>
      <c r="L55" s="3">
        <v>4.7</v>
      </c>
      <c r="M55" s="3">
        <v>746677.75</v>
      </c>
      <c r="N55" s="3">
        <v>122437.84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 t="s">
        <v>35</v>
      </c>
      <c r="B56" s="4">
        <v>45717.0</v>
      </c>
      <c r="C56" s="3" t="s">
        <v>27</v>
      </c>
      <c r="D56" s="3" t="s">
        <v>18</v>
      </c>
      <c r="E56" s="3">
        <v>81195.5</v>
      </c>
      <c r="F56" s="3">
        <v>5516.0</v>
      </c>
      <c r="G56" s="3">
        <v>0.106</v>
      </c>
      <c r="H56" s="3">
        <v>14.0</v>
      </c>
      <c r="I56" s="3">
        <v>88.0</v>
      </c>
      <c r="J56" s="3">
        <v>1.76</v>
      </c>
      <c r="K56" s="3">
        <v>0.0</v>
      </c>
      <c r="L56" s="3">
        <v>4.3</v>
      </c>
      <c r="M56" s="3">
        <v>720852.5</v>
      </c>
      <c r="N56" s="3">
        <v>98565.62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 t="s">
        <v>35</v>
      </c>
      <c r="B57" s="4">
        <v>45748.0</v>
      </c>
      <c r="C57" s="3" t="s">
        <v>27</v>
      </c>
      <c r="D57" s="3" t="s">
        <v>18</v>
      </c>
      <c r="E57" s="3">
        <v>27808.6</v>
      </c>
      <c r="F57" s="3">
        <v>2863.0</v>
      </c>
      <c r="G57" s="3">
        <v>0.08</v>
      </c>
      <c r="H57" s="3">
        <v>13.0</v>
      </c>
      <c r="I57" s="3">
        <v>89.3</v>
      </c>
      <c r="J57" s="3">
        <v>0.47</v>
      </c>
      <c r="K57" s="3">
        <v>0.0</v>
      </c>
      <c r="L57" s="3">
        <v>4.1</v>
      </c>
      <c r="M57" s="3">
        <v>487464.91</v>
      </c>
      <c r="N57" s="3">
        <v>64562.26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 t="s">
        <v>36</v>
      </c>
      <c r="B58" s="4">
        <v>45658.0</v>
      </c>
      <c r="C58" s="3" t="s">
        <v>15</v>
      </c>
      <c r="D58" s="3" t="s">
        <v>21</v>
      </c>
      <c r="E58" s="3">
        <v>19365.06</v>
      </c>
      <c r="F58" s="3">
        <v>2378.0</v>
      </c>
      <c r="G58" s="3">
        <v>0.0</v>
      </c>
      <c r="H58" s="3">
        <v>12.0</v>
      </c>
      <c r="I58" s="3">
        <v>94.8</v>
      </c>
      <c r="J58" s="3">
        <v>0.2</v>
      </c>
      <c r="K58" s="3">
        <v>0.0</v>
      </c>
      <c r="L58" s="3">
        <v>3.5</v>
      </c>
      <c r="M58" s="3">
        <v>518049.26</v>
      </c>
      <c r="N58" s="3">
        <v>108592.49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 t="s">
        <v>36</v>
      </c>
      <c r="B59" s="4">
        <v>45689.0</v>
      </c>
      <c r="C59" s="3" t="s">
        <v>15</v>
      </c>
      <c r="D59" s="3" t="s">
        <v>21</v>
      </c>
      <c r="E59" s="3">
        <v>59405.68</v>
      </c>
      <c r="F59" s="3">
        <v>2515.0</v>
      </c>
      <c r="G59" s="3">
        <v>0.039</v>
      </c>
      <c r="H59" s="3">
        <v>12.0</v>
      </c>
      <c r="I59" s="3">
        <v>76.0</v>
      </c>
      <c r="J59" s="3">
        <v>5.11</v>
      </c>
      <c r="K59" s="3">
        <v>0.0</v>
      </c>
      <c r="L59" s="3">
        <v>3.7</v>
      </c>
      <c r="M59" s="3">
        <v>500298.48</v>
      </c>
      <c r="N59" s="3">
        <v>73461.32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 t="s">
        <v>36</v>
      </c>
      <c r="B60" s="4">
        <v>45717.0</v>
      </c>
      <c r="C60" s="3" t="s">
        <v>15</v>
      </c>
      <c r="D60" s="3" t="s">
        <v>21</v>
      </c>
      <c r="E60" s="3">
        <v>118910.48</v>
      </c>
      <c r="F60" s="3">
        <v>4022.0</v>
      </c>
      <c r="G60" s="3">
        <v>0.137</v>
      </c>
      <c r="H60" s="3">
        <v>11.0</v>
      </c>
      <c r="I60" s="3">
        <v>87.1</v>
      </c>
      <c r="J60" s="3">
        <v>0.2</v>
      </c>
      <c r="K60" s="3">
        <v>0.0</v>
      </c>
      <c r="L60" s="3">
        <v>3.1</v>
      </c>
      <c r="M60" s="3">
        <v>617291.15</v>
      </c>
      <c r="N60" s="3">
        <v>117782.0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 t="s">
        <v>36</v>
      </c>
      <c r="B61" s="4">
        <v>45748.0</v>
      </c>
      <c r="C61" s="3" t="s">
        <v>15</v>
      </c>
      <c r="D61" s="3" t="s">
        <v>21</v>
      </c>
      <c r="E61" s="3">
        <v>52952.12</v>
      </c>
      <c r="F61" s="3">
        <v>4377.0</v>
      </c>
      <c r="G61" s="3">
        <v>0.092</v>
      </c>
      <c r="H61" s="3">
        <v>14.0</v>
      </c>
      <c r="I61" s="3">
        <v>88.6</v>
      </c>
      <c r="J61" s="3">
        <v>13.59</v>
      </c>
      <c r="K61" s="3">
        <v>0.0</v>
      </c>
      <c r="L61" s="3">
        <v>3.1</v>
      </c>
      <c r="M61" s="3">
        <v>553756.43</v>
      </c>
      <c r="N61" s="3">
        <v>86166.77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 t="s">
        <v>37</v>
      </c>
      <c r="B62" s="4">
        <v>45658.0</v>
      </c>
      <c r="C62" s="3" t="s">
        <v>24</v>
      </c>
      <c r="D62" s="3" t="s">
        <v>18</v>
      </c>
      <c r="E62" s="3">
        <v>74907.98</v>
      </c>
      <c r="F62" s="3">
        <v>5306.0</v>
      </c>
      <c r="G62" s="3">
        <v>0.062</v>
      </c>
      <c r="H62" s="3">
        <v>16.0</v>
      </c>
      <c r="I62" s="3">
        <v>95.6</v>
      </c>
      <c r="J62" s="3">
        <v>1.02</v>
      </c>
      <c r="K62" s="3">
        <v>0.0</v>
      </c>
      <c r="L62" s="3">
        <v>3.7</v>
      </c>
      <c r="M62" s="3">
        <v>749559.71</v>
      </c>
      <c r="N62" s="3">
        <v>144522.53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 t="s">
        <v>37</v>
      </c>
      <c r="B63" s="4">
        <v>45689.0</v>
      </c>
      <c r="C63" s="3" t="s">
        <v>24</v>
      </c>
      <c r="D63" s="3" t="s">
        <v>18</v>
      </c>
      <c r="E63" s="3">
        <v>37284.66</v>
      </c>
      <c r="F63" s="3">
        <v>3928.0</v>
      </c>
      <c r="G63" s="3">
        <v>0.074</v>
      </c>
      <c r="H63" s="3">
        <v>12.0</v>
      </c>
      <c r="I63" s="3">
        <v>86.5</v>
      </c>
      <c r="J63" s="3">
        <v>1.64</v>
      </c>
      <c r="K63" s="3">
        <v>0.0</v>
      </c>
      <c r="L63" s="3">
        <v>3.8</v>
      </c>
      <c r="M63" s="3">
        <v>615966.48</v>
      </c>
      <c r="N63" s="3">
        <v>91509.38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 t="s">
        <v>37</v>
      </c>
      <c r="B64" s="4">
        <v>45717.0</v>
      </c>
      <c r="C64" s="3" t="s">
        <v>24</v>
      </c>
      <c r="D64" s="3" t="s">
        <v>18</v>
      </c>
      <c r="E64" s="3">
        <v>50343.19</v>
      </c>
      <c r="F64" s="3">
        <v>3845.0</v>
      </c>
      <c r="G64" s="3">
        <v>0.113</v>
      </c>
      <c r="H64" s="3">
        <v>9.0</v>
      </c>
      <c r="I64" s="3">
        <v>88.7</v>
      </c>
      <c r="J64" s="3">
        <v>5.15</v>
      </c>
      <c r="K64" s="3">
        <v>0.0</v>
      </c>
      <c r="L64" s="3">
        <v>3.3</v>
      </c>
      <c r="M64" s="3">
        <v>572011.2</v>
      </c>
      <c r="N64" s="3">
        <v>101409.68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 t="s">
        <v>37</v>
      </c>
      <c r="B65" s="4">
        <v>45748.0</v>
      </c>
      <c r="C65" s="3" t="s">
        <v>24</v>
      </c>
      <c r="D65" s="3" t="s">
        <v>18</v>
      </c>
      <c r="E65" s="3">
        <v>74954.47</v>
      </c>
      <c r="F65" s="3">
        <v>6620.0</v>
      </c>
      <c r="G65" s="3">
        <v>0.054</v>
      </c>
      <c r="H65" s="3">
        <v>17.0</v>
      </c>
      <c r="I65" s="3">
        <v>91.1</v>
      </c>
      <c r="J65" s="3">
        <v>1.11</v>
      </c>
      <c r="K65" s="3">
        <v>0.0</v>
      </c>
      <c r="L65" s="3">
        <v>3.5</v>
      </c>
      <c r="M65" s="3">
        <v>761860.19</v>
      </c>
      <c r="N65" s="3">
        <v>133279.38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 t="s">
        <v>38</v>
      </c>
      <c r="B66" s="4">
        <v>45658.0</v>
      </c>
      <c r="C66" s="3" t="s">
        <v>27</v>
      </c>
      <c r="D66" s="3" t="s">
        <v>18</v>
      </c>
      <c r="E66" s="3">
        <v>70040.31</v>
      </c>
      <c r="F66" s="3">
        <v>9175.0</v>
      </c>
      <c r="G66" s="3">
        <v>0.107</v>
      </c>
      <c r="H66" s="3">
        <v>23.0</v>
      </c>
      <c r="I66" s="3">
        <v>95.1</v>
      </c>
      <c r="J66" s="3">
        <v>6.08</v>
      </c>
      <c r="K66" s="3">
        <v>1.0</v>
      </c>
      <c r="L66" s="3">
        <v>3.4</v>
      </c>
      <c r="M66" s="3">
        <v>784502.68</v>
      </c>
      <c r="N66" s="3">
        <v>129519.72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 t="s">
        <v>38</v>
      </c>
      <c r="B67" s="4">
        <v>45689.0</v>
      </c>
      <c r="C67" s="3" t="s">
        <v>27</v>
      </c>
      <c r="D67" s="3" t="s">
        <v>18</v>
      </c>
      <c r="E67" s="3">
        <v>51148.69</v>
      </c>
      <c r="F67" s="3">
        <v>7940.0</v>
      </c>
      <c r="G67" s="3">
        <v>0.156</v>
      </c>
      <c r="H67" s="3">
        <v>18.0</v>
      </c>
      <c r="I67" s="3">
        <v>93.3</v>
      </c>
      <c r="J67" s="3">
        <v>10.91</v>
      </c>
      <c r="K67" s="3">
        <v>0.0</v>
      </c>
      <c r="L67" s="3">
        <v>3.6</v>
      </c>
      <c r="M67" s="3">
        <v>717141.55</v>
      </c>
      <c r="N67" s="3">
        <v>134013.61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38</v>
      </c>
      <c r="B68" s="4">
        <v>45717.0</v>
      </c>
      <c r="C68" s="3" t="s">
        <v>27</v>
      </c>
      <c r="D68" s="3" t="s">
        <v>18</v>
      </c>
      <c r="E68" s="3">
        <v>79346.1</v>
      </c>
      <c r="F68" s="3">
        <v>9628.0</v>
      </c>
      <c r="G68" s="3">
        <v>0.102</v>
      </c>
      <c r="H68" s="3">
        <v>20.0</v>
      </c>
      <c r="I68" s="3">
        <v>99.0</v>
      </c>
      <c r="J68" s="3">
        <v>19.01</v>
      </c>
      <c r="K68" s="3">
        <v>1.0</v>
      </c>
      <c r="L68" s="3">
        <v>3.2</v>
      </c>
      <c r="M68" s="3">
        <v>685379.08</v>
      </c>
      <c r="N68" s="3">
        <v>106898.82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 t="s">
        <v>38</v>
      </c>
      <c r="B69" s="4">
        <v>45748.0</v>
      </c>
      <c r="C69" s="3" t="s">
        <v>27</v>
      </c>
      <c r="D69" s="3" t="s">
        <v>18</v>
      </c>
      <c r="E69" s="3">
        <v>42018.4</v>
      </c>
      <c r="F69" s="3">
        <v>8296.0</v>
      </c>
      <c r="G69" s="3">
        <v>0.115</v>
      </c>
      <c r="H69" s="3">
        <v>17.0</v>
      </c>
      <c r="I69" s="3">
        <v>91.8</v>
      </c>
      <c r="J69" s="3">
        <v>0.77</v>
      </c>
      <c r="K69" s="3">
        <v>0.0</v>
      </c>
      <c r="L69" s="3">
        <v>3.4</v>
      </c>
      <c r="M69" s="3">
        <v>740496.65</v>
      </c>
      <c r="N69" s="3">
        <v>128020.9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 t="s">
        <v>39</v>
      </c>
      <c r="B70" s="4">
        <v>45658.0</v>
      </c>
      <c r="C70" s="3" t="s">
        <v>15</v>
      </c>
      <c r="D70" s="3" t="s">
        <v>18</v>
      </c>
      <c r="E70" s="3">
        <v>70937.24</v>
      </c>
      <c r="F70" s="3">
        <v>3595.0</v>
      </c>
      <c r="G70" s="3">
        <v>0.141</v>
      </c>
      <c r="H70" s="3">
        <v>11.0</v>
      </c>
      <c r="I70" s="3">
        <v>88.9</v>
      </c>
      <c r="J70" s="3">
        <v>2.83</v>
      </c>
      <c r="K70" s="3">
        <v>1.0</v>
      </c>
      <c r="L70" s="3">
        <v>3.3</v>
      </c>
      <c r="M70" s="3">
        <v>661927.14</v>
      </c>
      <c r="N70" s="3">
        <v>79218.57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 t="s">
        <v>39</v>
      </c>
      <c r="B71" s="4">
        <v>45689.0</v>
      </c>
      <c r="C71" s="3" t="s">
        <v>15</v>
      </c>
      <c r="D71" s="3" t="s">
        <v>18</v>
      </c>
      <c r="E71" s="3">
        <v>36813.45</v>
      </c>
      <c r="F71" s="3">
        <v>2834.0</v>
      </c>
      <c r="G71" s="3">
        <v>0.191</v>
      </c>
      <c r="H71" s="3">
        <v>11.0</v>
      </c>
      <c r="I71" s="3">
        <v>81.8</v>
      </c>
      <c r="J71" s="3">
        <v>2.33</v>
      </c>
      <c r="K71" s="3">
        <v>0.0</v>
      </c>
      <c r="L71" s="3">
        <v>3.3</v>
      </c>
      <c r="M71" s="3">
        <v>479050.5</v>
      </c>
      <c r="N71" s="3">
        <v>53651.11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 t="s">
        <v>39</v>
      </c>
      <c r="B72" s="4">
        <v>45717.0</v>
      </c>
      <c r="C72" s="3" t="s">
        <v>15</v>
      </c>
      <c r="D72" s="3" t="s">
        <v>18</v>
      </c>
      <c r="E72" s="3">
        <v>60571.82</v>
      </c>
      <c r="F72" s="3">
        <v>3193.0</v>
      </c>
      <c r="G72" s="3">
        <v>0.197</v>
      </c>
      <c r="H72" s="3">
        <v>7.0</v>
      </c>
      <c r="I72" s="3">
        <v>99.0</v>
      </c>
      <c r="J72" s="3">
        <v>1.43</v>
      </c>
      <c r="K72" s="3">
        <v>0.0</v>
      </c>
      <c r="L72" s="3">
        <v>3.2</v>
      </c>
      <c r="M72" s="3">
        <v>605023.87</v>
      </c>
      <c r="N72" s="3">
        <v>98545.81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 t="s">
        <v>39</v>
      </c>
      <c r="B73" s="4">
        <v>45748.0</v>
      </c>
      <c r="C73" s="3" t="s">
        <v>15</v>
      </c>
      <c r="D73" s="3" t="s">
        <v>18</v>
      </c>
      <c r="E73" s="3">
        <v>55081.16</v>
      </c>
      <c r="F73" s="3">
        <v>5485.0</v>
      </c>
      <c r="G73" s="3">
        <v>0.036</v>
      </c>
      <c r="H73" s="3">
        <v>12.0</v>
      </c>
      <c r="I73" s="3">
        <v>88.0</v>
      </c>
      <c r="J73" s="3">
        <v>3.365</v>
      </c>
      <c r="K73" s="3">
        <v>0.0</v>
      </c>
      <c r="L73" s="3">
        <v>3.5</v>
      </c>
      <c r="M73" s="3">
        <v>674774.09</v>
      </c>
      <c r="N73" s="3">
        <v>141917.59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 t="s">
        <v>40</v>
      </c>
      <c r="B74" s="4">
        <v>45658.0</v>
      </c>
      <c r="C74" s="3" t="s">
        <v>15</v>
      </c>
      <c r="D74" s="3" t="s">
        <v>16</v>
      </c>
      <c r="E74" s="3">
        <v>46201.46</v>
      </c>
      <c r="F74" s="3">
        <v>5918.0</v>
      </c>
      <c r="G74" s="3">
        <v>0.277</v>
      </c>
      <c r="H74" s="3">
        <v>13.0</v>
      </c>
      <c r="I74" s="3">
        <v>78.8</v>
      </c>
      <c r="J74" s="3">
        <v>4.91</v>
      </c>
      <c r="K74" s="3">
        <v>0.0</v>
      </c>
      <c r="L74" s="3">
        <v>4.5</v>
      </c>
      <c r="M74" s="3">
        <v>616069.41</v>
      </c>
      <c r="N74" s="3">
        <v>54453.99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 t="s">
        <v>40</v>
      </c>
      <c r="B75" s="4">
        <v>45689.0</v>
      </c>
      <c r="C75" s="3" t="s">
        <v>15</v>
      </c>
      <c r="D75" s="3" t="s">
        <v>16</v>
      </c>
      <c r="E75" s="3">
        <v>53762.92</v>
      </c>
      <c r="F75" s="3">
        <v>6821.0</v>
      </c>
      <c r="G75" s="3">
        <v>0.066</v>
      </c>
      <c r="H75" s="3">
        <v>19.0</v>
      </c>
      <c r="I75" s="3">
        <v>94.6</v>
      </c>
      <c r="J75" s="3">
        <v>7.03</v>
      </c>
      <c r="K75" s="3">
        <v>0.0</v>
      </c>
      <c r="L75" s="3">
        <v>4.4</v>
      </c>
      <c r="M75" s="3">
        <v>630829.94</v>
      </c>
      <c r="N75" s="3">
        <v>117090.02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 t="s">
        <v>40</v>
      </c>
      <c r="B76" s="4">
        <v>45717.0</v>
      </c>
      <c r="C76" s="3" t="s">
        <v>15</v>
      </c>
      <c r="D76" s="3" t="s">
        <v>16</v>
      </c>
      <c r="E76" s="3">
        <v>70144.78</v>
      </c>
      <c r="F76" s="3">
        <v>6806.0</v>
      </c>
      <c r="G76" s="3">
        <v>0.178</v>
      </c>
      <c r="H76" s="3">
        <v>20.0</v>
      </c>
      <c r="I76" s="3">
        <v>93.1</v>
      </c>
      <c r="J76" s="3">
        <v>0.28</v>
      </c>
      <c r="K76" s="3">
        <v>1.0</v>
      </c>
      <c r="L76" s="3">
        <v>4.3</v>
      </c>
      <c r="M76" s="3">
        <v>788087.68</v>
      </c>
      <c r="N76" s="3">
        <v>116803.42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 t="s">
        <v>40</v>
      </c>
      <c r="B77" s="4">
        <v>45748.0</v>
      </c>
      <c r="C77" s="3" t="s">
        <v>15</v>
      </c>
      <c r="D77" s="3" t="s">
        <v>16</v>
      </c>
      <c r="E77" s="3">
        <v>58749.63</v>
      </c>
      <c r="F77" s="3">
        <v>8252.0</v>
      </c>
      <c r="G77" s="3">
        <v>0.203</v>
      </c>
      <c r="H77" s="3">
        <v>20.0</v>
      </c>
      <c r="I77" s="3">
        <v>85.2</v>
      </c>
      <c r="J77" s="3">
        <v>3.61</v>
      </c>
      <c r="K77" s="3">
        <v>0.0</v>
      </c>
      <c r="L77" s="3">
        <v>4.5</v>
      </c>
      <c r="M77" s="3">
        <v>680840.36</v>
      </c>
      <c r="N77" s="3">
        <v>68007.68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 t="s">
        <v>41</v>
      </c>
      <c r="B78" s="4">
        <v>45658.0</v>
      </c>
      <c r="C78" s="3" t="s">
        <v>24</v>
      </c>
      <c r="D78" s="3" t="s">
        <v>18</v>
      </c>
      <c r="E78" s="3">
        <v>56973.18</v>
      </c>
      <c r="F78" s="3">
        <v>6662.0</v>
      </c>
      <c r="G78" s="3">
        <v>0.1</v>
      </c>
      <c r="H78" s="3">
        <v>15.0</v>
      </c>
      <c r="I78" s="3">
        <v>77.7</v>
      </c>
      <c r="J78" s="3">
        <v>7.52</v>
      </c>
      <c r="K78" s="3">
        <v>1.0</v>
      </c>
      <c r="L78" s="3">
        <v>3.2</v>
      </c>
      <c r="M78" s="3">
        <v>643657.47</v>
      </c>
      <c r="N78" s="3">
        <v>87022.45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 t="s">
        <v>41</v>
      </c>
      <c r="B79" s="4">
        <v>45689.0</v>
      </c>
      <c r="C79" s="3" t="s">
        <v>24</v>
      </c>
      <c r="D79" s="3" t="s">
        <v>18</v>
      </c>
      <c r="E79" s="3">
        <v>54872.82</v>
      </c>
      <c r="F79" s="3">
        <v>5962.0</v>
      </c>
      <c r="G79" s="3">
        <v>0.064</v>
      </c>
      <c r="H79" s="3">
        <v>12.0</v>
      </c>
      <c r="I79" s="3">
        <v>85.4</v>
      </c>
      <c r="J79" s="3">
        <v>2.58</v>
      </c>
      <c r="K79" s="3">
        <v>0.0</v>
      </c>
      <c r="L79" s="3">
        <v>2.9</v>
      </c>
      <c r="M79" s="3">
        <v>691112.6</v>
      </c>
      <c r="N79" s="3">
        <v>109212.83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 t="s">
        <v>41</v>
      </c>
      <c r="B80" s="4">
        <v>45717.0</v>
      </c>
      <c r="C80" s="3" t="s">
        <v>24</v>
      </c>
      <c r="D80" s="3" t="s">
        <v>18</v>
      </c>
      <c r="E80" s="3">
        <v>80562.81</v>
      </c>
      <c r="F80" s="3">
        <v>7470.0</v>
      </c>
      <c r="G80" s="3">
        <v>0.172</v>
      </c>
      <c r="H80" s="3">
        <v>16.0</v>
      </c>
      <c r="I80" s="3">
        <v>83.5</v>
      </c>
      <c r="J80" s="3">
        <v>2.29</v>
      </c>
      <c r="K80" s="3">
        <v>0.0</v>
      </c>
      <c r="L80" s="3">
        <v>3.3</v>
      </c>
      <c r="M80" s="3">
        <v>776922.17</v>
      </c>
      <c r="N80" s="3">
        <v>150701.93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 t="s">
        <v>41</v>
      </c>
      <c r="B81" s="4">
        <v>45748.0</v>
      </c>
      <c r="C81" s="3" t="s">
        <v>24</v>
      </c>
      <c r="D81" s="3" t="s">
        <v>18</v>
      </c>
      <c r="E81" s="3">
        <v>77999.9</v>
      </c>
      <c r="F81" s="3">
        <v>5974.0</v>
      </c>
      <c r="G81" s="3">
        <v>0.252</v>
      </c>
      <c r="H81" s="3">
        <v>14.0</v>
      </c>
      <c r="I81" s="3">
        <v>81.3</v>
      </c>
      <c r="J81" s="3">
        <v>2.39</v>
      </c>
      <c r="K81" s="3">
        <v>0.0</v>
      </c>
      <c r="L81" s="3">
        <v>3.2</v>
      </c>
      <c r="M81" s="3">
        <v>636561.34</v>
      </c>
      <c r="N81" s="3">
        <v>93861.06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 t="s">
        <v>42</v>
      </c>
      <c r="B82" s="4">
        <v>45658.0</v>
      </c>
      <c r="C82" s="3" t="s">
        <v>27</v>
      </c>
      <c r="D82" s="3" t="s">
        <v>28</v>
      </c>
      <c r="E82" s="3">
        <v>60881.01</v>
      </c>
      <c r="F82" s="3">
        <v>5410.0</v>
      </c>
      <c r="G82" s="3">
        <v>0.179</v>
      </c>
      <c r="H82" s="3">
        <v>15.0</v>
      </c>
      <c r="I82" s="3">
        <v>83.9</v>
      </c>
      <c r="J82" s="3">
        <v>5.24</v>
      </c>
      <c r="K82" s="3">
        <v>0.0</v>
      </c>
      <c r="L82" s="3">
        <v>4.6</v>
      </c>
      <c r="M82" s="3">
        <v>621369.58</v>
      </c>
      <c r="N82" s="3">
        <v>85493.64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 t="s">
        <v>42</v>
      </c>
      <c r="B83" s="4">
        <v>45689.0</v>
      </c>
      <c r="C83" s="3" t="s">
        <v>27</v>
      </c>
      <c r="D83" s="3" t="s">
        <v>28</v>
      </c>
      <c r="E83" s="3">
        <v>60628.38</v>
      </c>
      <c r="F83" s="3">
        <v>4451.0</v>
      </c>
      <c r="G83" s="3">
        <v>0.095</v>
      </c>
      <c r="H83" s="3">
        <v>10.0</v>
      </c>
      <c r="I83" s="3">
        <v>89.6</v>
      </c>
      <c r="J83" s="3">
        <v>3.17</v>
      </c>
      <c r="K83" s="3">
        <v>0.0</v>
      </c>
      <c r="L83" s="3">
        <v>4.6</v>
      </c>
      <c r="M83" s="3">
        <v>682208.01</v>
      </c>
      <c r="N83" s="3">
        <v>110318.84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 t="s">
        <v>42</v>
      </c>
      <c r="B84" s="4">
        <v>45717.0</v>
      </c>
      <c r="C84" s="3" t="s">
        <v>27</v>
      </c>
      <c r="D84" s="3" t="s">
        <v>28</v>
      </c>
      <c r="E84" s="3">
        <v>72731.14</v>
      </c>
      <c r="F84" s="3">
        <v>4644.0</v>
      </c>
      <c r="G84" s="3">
        <v>0.084</v>
      </c>
      <c r="H84" s="3">
        <v>15.0</v>
      </c>
      <c r="I84" s="3">
        <v>87.1</v>
      </c>
      <c r="J84" s="3">
        <v>2.66</v>
      </c>
      <c r="K84" s="3">
        <v>0.0</v>
      </c>
      <c r="L84" s="3">
        <v>4.6</v>
      </c>
      <c r="M84" s="3">
        <v>727241.86</v>
      </c>
      <c r="N84" s="3">
        <v>155810.3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 t="s">
        <v>42</v>
      </c>
      <c r="B85" s="4">
        <v>45748.0</v>
      </c>
      <c r="C85" s="3" t="s">
        <v>27</v>
      </c>
      <c r="D85" s="3" t="s">
        <v>28</v>
      </c>
      <c r="E85" s="3">
        <v>36475.71</v>
      </c>
      <c r="F85" s="3">
        <v>3559.0</v>
      </c>
      <c r="G85" s="3">
        <v>0.03</v>
      </c>
      <c r="H85" s="3">
        <v>8.0</v>
      </c>
      <c r="I85" s="3">
        <v>83.6</v>
      </c>
      <c r="J85" s="3">
        <v>1.41</v>
      </c>
      <c r="K85" s="3">
        <v>0.0</v>
      </c>
      <c r="L85" s="3">
        <v>4.2</v>
      </c>
      <c r="M85" s="3">
        <v>569100.78</v>
      </c>
      <c r="N85" s="3">
        <v>104808.78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 t="s">
        <v>43</v>
      </c>
      <c r="B86" s="4">
        <v>45658.0</v>
      </c>
      <c r="C86" s="3" t="s">
        <v>27</v>
      </c>
      <c r="D86" s="3" t="s">
        <v>18</v>
      </c>
      <c r="E86" s="3">
        <v>55388.11</v>
      </c>
      <c r="F86" s="3">
        <v>3091.0</v>
      </c>
      <c r="G86" s="3">
        <v>0.108</v>
      </c>
      <c r="H86" s="3">
        <v>7.0</v>
      </c>
      <c r="I86" s="3">
        <v>85.4</v>
      </c>
      <c r="J86" s="3">
        <v>7.34</v>
      </c>
      <c r="K86" s="3">
        <v>0.0</v>
      </c>
      <c r="L86" s="3">
        <v>4.9</v>
      </c>
      <c r="M86" s="3">
        <v>574436.29</v>
      </c>
      <c r="N86" s="3">
        <v>80271.99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 t="s">
        <v>43</v>
      </c>
      <c r="B87" s="4">
        <v>45689.0</v>
      </c>
      <c r="C87" s="3" t="s">
        <v>27</v>
      </c>
      <c r="D87" s="3" t="s">
        <v>18</v>
      </c>
      <c r="E87" s="3">
        <v>88443.77</v>
      </c>
      <c r="F87" s="3">
        <v>4004.0</v>
      </c>
      <c r="G87" s="3">
        <v>0.206</v>
      </c>
      <c r="H87" s="3">
        <v>11.0</v>
      </c>
      <c r="I87" s="3">
        <v>91.9</v>
      </c>
      <c r="J87" s="3">
        <v>5.95</v>
      </c>
      <c r="K87" s="3">
        <v>0.0</v>
      </c>
      <c r="L87" s="3">
        <v>3.9</v>
      </c>
      <c r="M87" s="3">
        <v>611766.72</v>
      </c>
      <c r="N87" s="3">
        <v>88275.61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 t="s">
        <v>43</v>
      </c>
      <c r="B88" s="4">
        <v>45717.0</v>
      </c>
      <c r="C88" s="3" t="s">
        <v>27</v>
      </c>
      <c r="D88" s="3" t="s">
        <v>18</v>
      </c>
      <c r="E88" s="3">
        <v>78231.91</v>
      </c>
      <c r="F88" s="3">
        <v>3788.0</v>
      </c>
      <c r="G88" s="3">
        <v>0.059</v>
      </c>
      <c r="H88" s="3">
        <v>11.0</v>
      </c>
      <c r="I88" s="3">
        <v>88.5</v>
      </c>
      <c r="J88" s="3">
        <v>15.51</v>
      </c>
      <c r="K88" s="3">
        <v>0.0</v>
      </c>
      <c r="L88" s="3">
        <v>4.3</v>
      </c>
      <c r="M88" s="3">
        <v>614596.32</v>
      </c>
      <c r="N88" s="3">
        <v>131199.41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 t="s">
        <v>43</v>
      </c>
      <c r="B89" s="4">
        <v>45748.0</v>
      </c>
      <c r="C89" s="3" t="s">
        <v>27</v>
      </c>
      <c r="D89" s="3" t="s">
        <v>18</v>
      </c>
      <c r="E89" s="3">
        <v>18996.32</v>
      </c>
      <c r="F89" s="3">
        <v>1260.0</v>
      </c>
      <c r="G89" s="3">
        <v>0.145</v>
      </c>
      <c r="H89" s="3">
        <v>9.0</v>
      </c>
      <c r="I89" s="3">
        <v>86.4</v>
      </c>
      <c r="J89" s="3">
        <v>4.31</v>
      </c>
      <c r="K89" s="3">
        <v>0.0</v>
      </c>
      <c r="L89" s="3">
        <v>4.6</v>
      </c>
      <c r="M89" s="3">
        <v>450711.92</v>
      </c>
      <c r="N89" s="3">
        <v>90043.76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 t="s">
        <v>44</v>
      </c>
      <c r="B90" s="4">
        <v>45658.0</v>
      </c>
      <c r="C90" s="3" t="s">
        <v>24</v>
      </c>
      <c r="D90" s="3" t="s">
        <v>28</v>
      </c>
      <c r="E90" s="3">
        <v>50517.94</v>
      </c>
      <c r="F90" s="3">
        <v>7024.0</v>
      </c>
      <c r="G90" s="3">
        <v>0.029</v>
      </c>
      <c r="H90" s="3">
        <v>18.0</v>
      </c>
      <c r="I90" s="3">
        <v>79.2</v>
      </c>
      <c r="J90" s="3">
        <v>6.61</v>
      </c>
      <c r="K90" s="3">
        <v>1.0</v>
      </c>
      <c r="L90" s="3">
        <v>4.1</v>
      </c>
      <c r="M90" s="3">
        <v>711213.46</v>
      </c>
      <c r="N90" s="3">
        <v>105863.26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 t="s">
        <v>44</v>
      </c>
      <c r="B91" s="4">
        <v>45689.0</v>
      </c>
      <c r="C91" s="3" t="s">
        <v>24</v>
      </c>
      <c r="D91" s="3" t="s">
        <v>28</v>
      </c>
      <c r="E91" s="3">
        <v>141540.29</v>
      </c>
      <c r="F91" s="3">
        <v>5400.0</v>
      </c>
      <c r="G91" s="3">
        <v>0.013</v>
      </c>
      <c r="H91" s="3">
        <v>12.0</v>
      </c>
      <c r="I91" s="3">
        <v>87.0</v>
      </c>
      <c r="J91" s="3">
        <v>4.26</v>
      </c>
      <c r="K91" s="3">
        <v>0.0</v>
      </c>
      <c r="L91" s="3">
        <v>4.5</v>
      </c>
      <c r="M91" s="3">
        <v>627171.9</v>
      </c>
      <c r="N91" s="3">
        <v>105772.75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 t="s">
        <v>44</v>
      </c>
      <c r="B92" s="4">
        <v>45717.0</v>
      </c>
      <c r="C92" s="3" t="s">
        <v>24</v>
      </c>
      <c r="D92" s="3" t="s">
        <v>28</v>
      </c>
      <c r="E92" s="3">
        <v>82116.19</v>
      </c>
      <c r="F92" s="3">
        <v>5988.0</v>
      </c>
      <c r="G92" s="3">
        <v>0.04</v>
      </c>
      <c r="H92" s="3">
        <v>17.0</v>
      </c>
      <c r="I92" s="3">
        <v>91.8</v>
      </c>
      <c r="J92" s="3">
        <v>5.75</v>
      </c>
      <c r="K92" s="3">
        <v>0.0</v>
      </c>
      <c r="L92" s="3">
        <v>4.7</v>
      </c>
      <c r="M92" s="3">
        <v>739852.58</v>
      </c>
      <c r="N92" s="3">
        <v>129386.43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 t="s">
        <v>44</v>
      </c>
      <c r="B93" s="4">
        <v>45748.0</v>
      </c>
      <c r="C93" s="3" t="s">
        <v>24</v>
      </c>
      <c r="D93" s="3" t="s">
        <v>28</v>
      </c>
      <c r="E93" s="3">
        <v>31207.51</v>
      </c>
      <c r="F93" s="3">
        <v>3701.0</v>
      </c>
      <c r="G93" s="3">
        <v>0.043</v>
      </c>
      <c r="H93" s="3">
        <v>11.0</v>
      </c>
      <c r="I93" s="3">
        <v>84.7</v>
      </c>
      <c r="J93" s="3">
        <v>0.33</v>
      </c>
      <c r="K93" s="3">
        <v>0.0</v>
      </c>
      <c r="L93" s="3">
        <v>4.3</v>
      </c>
      <c r="M93" s="3">
        <v>586307.22</v>
      </c>
      <c r="N93" s="3">
        <v>73927.85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 t="s">
        <v>45</v>
      </c>
      <c r="B94" s="4">
        <v>45658.0</v>
      </c>
      <c r="C94" s="3" t="s">
        <v>27</v>
      </c>
      <c r="D94" s="3" t="s">
        <v>16</v>
      </c>
      <c r="E94" s="3">
        <v>38966.59</v>
      </c>
      <c r="F94" s="3">
        <v>4509.0</v>
      </c>
      <c r="G94" s="3">
        <v>0.194</v>
      </c>
      <c r="H94" s="3">
        <v>14.0</v>
      </c>
      <c r="I94" s="3">
        <v>91.1</v>
      </c>
      <c r="J94" s="3">
        <v>2.92</v>
      </c>
      <c r="K94" s="3">
        <v>0.0</v>
      </c>
      <c r="L94" s="3">
        <v>4.6</v>
      </c>
      <c r="M94" s="3">
        <v>585937.48</v>
      </c>
      <c r="N94" s="3">
        <v>82624.2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 t="s">
        <v>45</v>
      </c>
      <c r="B95" s="4">
        <v>45689.0</v>
      </c>
      <c r="C95" s="3" t="s">
        <v>27</v>
      </c>
      <c r="D95" s="3" t="s">
        <v>16</v>
      </c>
      <c r="E95" s="3">
        <v>67439.3</v>
      </c>
      <c r="F95" s="3">
        <v>6477.0</v>
      </c>
      <c r="G95" s="3">
        <v>0.0</v>
      </c>
      <c r="H95" s="3">
        <v>16.0</v>
      </c>
      <c r="I95" s="3">
        <v>90.9</v>
      </c>
      <c r="J95" s="3">
        <v>1.64</v>
      </c>
      <c r="K95" s="3">
        <v>0.0</v>
      </c>
      <c r="L95" s="3">
        <v>4.5</v>
      </c>
      <c r="M95" s="3">
        <v>753473.55</v>
      </c>
      <c r="N95" s="3">
        <v>151527.22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 t="s">
        <v>45</v>
      </c>
      <c r="B96" s="4">
        <v>45717.0</v>
      </c>
      <c r="C96" s="3" t="s">
        <v>27</v>
      </c>
      <c r="D96" s="3" t="s">
        <v>16</v>
      </c>
      <c r="E96" s="3">
        <v>86421.88</v>
      </c>
      <c r="F96" s="3">
        <v>7970.0</v>
      </c>
      <c r="G96" s="3">
        <v>0.073</v>
      </c>
      <c r="H96" s="3">
        <v>17.0</v>
      </c>
      <c r="I96" s="3">
        <v>91.3</v>
      </c>
      <c r="J96" s="3">
        <v>0.8</v>
      </c>
      <c r="K96" s="3">
        <v>0.0</v>
      </c>
      <c r="L96" s="3">
        <v>5.0</v>
      </c>
      <c r="M96" s="3">
        <v>838250.32</v>
      </c>
      <c r="N96" s="3">
        <v>122939.34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 t="s">
        <v>45</v>
      </c>
      <c r="B97" s="4">
        <v>45748.0</v>
      </c>
      <c r="C97" s="3" t="s">
        <v>27</v>
      </c>
      <c r="D97" s="3" t="s">
        <v>16</v>
      </c>
      <c r="E97" s="3">
        <v>9534.65</v>
      </c>
      <c r="F97" s="3">
        <v>6057.0</v>
      </c>
      <c r="G97" s="3">
        <v>0.074</v>
      </c>
      <c r="H97" s="3">
        <v>15.0</v>
      </c>
      <c r="I97" s="3">
        <v>94.1</v>
      </c>
      <c r="J97" s="3">
        <v>5.79</v>
      </c>
      <c r="K97" s="3">
        <v>0.0</v>
      </c>
      <c r="L97" s="3">
        <v>4.5</v>
      </c>
      <c r="M97" s="3">
        <v>607898.12</v>
      </c>
      <c r="N97" s="3">
        <v>135404.85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 t="s">
        <v>46</v>
      </c>
      <c r="B98" s="4">
        <v>45658.0</v>
      </c>
      <c r="C98" s="3" t="s">
        <v>27</v>
      </c>
      <c r="D98" s="3" t="s">
        <v>28</v>
      </c>
      <c r="E98" s="3">
        <v>61132.07</v>
      </c>
      <c r="F98" s="3">
        <v>6394.0</v>
      </c>
      <c r="G98" s="3">
        <v>0.163</v>
      </c>
      <c r="H98" s="3">
        <v>19.0</v>
      </c>
      <c r="I98" s="3">
        <v>91.0</v>
      </c>
      <c r="J98" s="3">
        <v>19.6</v>
      </c>
      <c r="K98" s="3">
        <v>0.0</v>
      </c>
      <c r="L98" s="3">
        <v>4.4</v>
      </c>
      <c r="M98" s="3">
        <v>691113.62</v>
      </c>
      <c r="N98" s="3">
        <v>135145.44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 t="s">
        <v>46</v>
      </c>
      <c r="B99" s="4">
        <v>45689.0</v>
      </c>
      <c r="C99" s="3" t="s">
        <v>27</v>
      </c>
      <c r="D99" s="3" t="s">
        <v>28</v>
      </c>
      <c r="E99" s="3">
        <v>78839.39</v>
      </c>
      <c r="F99" s="3">
        <v>5150.0</v>
      </c>
      <c r="G99" s="3">
        <v>0.171</v>
      </c>
      <c r="H99" s="3">
        <v>13.0</v>
      </c>
      <c r="I99" s="3">
        <v>85.8</v>
      </c>
      <c r="J99" s="3">
        <v>7.57</v>
      </c>
      <c r="K99" s="3">
        <v>0.0</v>
      </c>
      <c r="L99" s="3">
        <v>4.3</v>
      </c>
      <c r="M99" s="3">
        <v>735509.4</v>
      </c>
      <c r="N99" s="3">
        <v>83895.96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 t="s">
        <v>46</v>
      </c>
      <c r="B100" s="4">
        <v>45717.0</v>
      </c>
      <c r="C100" s="3" t="s">
        <v>27</v>
      </c>
      <c r="D100" s="3" t="s">
        <v>28</v>
      </c>
      <c r="E100" s="3">
        <v>38752.8</v>
      </c>
      <c r="F100" s="3">
        <v>4712.0</v>
      </c>
      <c r="G100" s="3">
        <v>0.075</v>
      </c>
      <c r="H100" s="3">
        <v>15.0</v>
      </c>
      <c r="I100" s="3">
        <v>89.7</v>
      </c>
      <c r="J100" s="3">
        <v>3.365</v>
      </c>
      <c r="K100" s="3">
        <v>0.0</v>
      </c>
      <c r="L100" s="3">
        <v>4.3</v>
      </c>
      <c r="M100" s="3">
        <v>605775.33</v>
      </c>
      <c r="N100" s="3">
        <v>107194.6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 t="s">
        <v>46</v>
      </c>
      <c r="B101" s="4">
        <v>45748.0</v>
      </c>
      <c r="C101" s="3" t="s">
        <v>27</v>
      </c>
      <c r="D101" s="3" t="s">
        <v>28</v>
      </c>
      <c r="E101" s="3">
        <v>55101.1</v>
      </c>
      <c r="F101" s="3">
        <v>5281.0</v>
      </c>
      <c r="G101" s="3">
        <v>0.189</v>
      </c>
      <c r="H101" s="3">
        <v>11.0</v>
      </c>
      <c r="I101" s="3">
        <v>91.0</v>
      </c>
      <c r="J101" s="3">
        <v>2.7</v>
      </c>
      <c r="K101" s="3">
        <v>0.0</v>
      </c>
      <c r="L101" s="3">
        <v>4.4</v>
      </c>
      <c r="M101" s="3">
        <v>675177.68</v>
      </c>
      <c r="N101" s="3">
        <v>105628.68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 t="s">
        <v>47</v>
      </c>
      <c r="B102" s="4">
        <v>45658.0</v>
      </c>
      <c r="C102" s="3" t="s">
        <v>15</v>
      </c>
      <c r="D102" s="3" t="s">
        <v>28</v>
      </c>
      <c r="E102" s="3">
        <v>53084.76</v>
      </c>
      <c r="F102" s="3">
        <v>3642.0</v>
      </c>
      <c r="G102" s="3">
        <v>0.15</v>
      </c>
      <c r="H102" s="3">
        <v>12.0</v>
      </c>
      <c r="I102" s="3">
        <v>91.4</v>
      </c>
      <c r="J102" s="3">
        <v>0.2</v>
      </c>
      <c r="K102" s="3">
        <v>0.0</v>
      </c>
      <c r="L102" s="3">
        <v>4.4</v>
      </c>
      <c r="M102" s="3">
        <v>635181.35</v>
      </c>
      <c r="N102" s="3">
        <v>83341.25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 t="s">
        <v>47</v>
      </c>
      <c r="B103" s="4">
        <v>45689.0</v>
      </c>
      <c r="C103" s="3" t="s">
        <v>15</v>
      </c>
      <c r="D103" s="3" t="s">
        <v>28</v>
      </c>
      <c r="E103" s="3">
        <v>63101.59</v>
      </c>
      <c r="F103" s="3">
        <v>4373.0</v>
      </c>
      <c r="G103" s="3">
        <v>0.173</v>
      </c>
      <c r="H103" s="3">
        <v>14.0</v>
      </c>
      <c r="I103" s="3">
        <v>90.4</v>
      </c>
      <c r="J103" s="3">
        <v>7.87</v>
      </c>
      <c r="K103" s="3">
        <v>0.0</v>
      </c>
      <c r="L103" s="3">
        <v>4.7</v>
      </c>
      <c r="M103" s="3">
        <v>586626.94</v>
      </c>
      <c r="N103" s="3">
        <v>86498.55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 t="s">
        <v>47</v>
      </c>
      <c r="B104" s="4">
        <v>45717.0</v>
      </c>
      <c r="C104" s="3" t="s">
        <v>15</v>
      </c>
      <c r="D104" s="3" t="s">
        <v>28</v>
      </c>
      <c r="E104" s="3">
        <v>90084.4</v>
      </c>
      <c r="F104" s="3">
        <v>6832.0</v>
      </c>
      <c r="G104" s="3">
        <v>0.185</v>
      </c>
      <c r="H104" s="3">
        <v>14.0</v>
      </c>
      <c r="I104" s="3">
        <v>80.5</v>
      </c>
      <c r="J104" s="3">
        <v>0.77</v>
      </c>
      <c r="K104" s="3">
        <v>1.0</v>
      </c>
      <c r="L104" s="3">
        <v>4.4</v>
      </c>
      <c r="M104" s="3">
        <v>740102.64</v>
      </c>
      <c r="N104" s="3">
        <v>114299.07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 t="s">
        <v>47</v>
      </c>
      <c r="B105" s="4">
        <v>45748.0</v>
      </c>
      <c r="C105" s="3" t="s">
        <v>15</v>
      </c>
      <c r="D105" s="3" t="s">
        <v>28</v>
      </c>
      <c r="E105" s="3">
        <v>32266.64</v>
      </c>
      <c r="F105" s="3">
        <v>2414.0</v>
      </c>
      <c r="G105" s="3">
        <v>0.08</v>
      </c>
      <c r="H105" s="3">
        <v>7.0</v>
      </c>
      <c r="I105" s="3">
        <v>92.1</v>
      </c>
      <c r="J105" s="3">
        <v>1.48</v>
      </c>
      <c r="K105" s="3">
        <v>0.0</v>
      </c>
      <c r="L105" s="3">
        <v>5.0</v>
      </c>
      <c r="M105" s="3">
        <v>625514.04</v>
      </c>
      <c r="N105" s="3">
        <v>120685.08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 t="s">
        <v>48</v>
      </c>
      <c r="B106" s="4">
        <v>45658.0</v>
      </c>
      <c r="C106" s="3" t="s">
        <v>27</v>
      </c>
      <c r="D106" s="3" t="s">
        <v>18</v>
      </c>
      <c r="E106" s="3">
        <v>57919.07</v>
      </c>
      <c r="F106" s="3">
        <v>7374.0</v>
      </c>
      <c r="G106" s="3">
        <v>0.103</v>
      </c>
      <c r="H106" s="3">
        <v>21.0</v>
      </c>
      <c r="I106" s="3">
        <v>82.3</v>
      </c>
      <c r="J106" s="3">
        <v>2.87</v>
      </c>
      <c r="K106" s="3">
        <v>0.0</v>
      </c>
      <c r="L106" s="3">
        <v>2.9</v>
      </c>
      <c r="M106" s="3">
        <v>727227.2</v>
      </c>
      <c r="N106" s="3">
        <v>121292.01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 t="s">
        <v>48</v>
      </c>
      <c r="B107" s="4">
        <v>45689.0</v>
      </c>
      <c r="C107" s="3" t="s">
        <v>27</v>
      </c>
      <c r="D107" s="3" t="s">
        <v>18</v>
      </c>
      <c r="E107" s="3">
        <v>74679.35</v>
      </c>
      <c r="F107" s="3">
        <v>8739.0</v>
      </c>
      <c r="G107" s="3">
        <v>0.056</v>
      </c>
      <c r="H107" s="3">
        <v>21.0</v>
      </c>
      <c r="I107" s="3">
        <v>91.8</v>
      </c>
      <c r="J107" s="3">
        <v>2.83</v>
      </c>
      <c r="K107" s="3">
        <v>0.0</v>
      </c>
      <c r="L107" s="3">
        <v>3.0</v>
      </c>
      <c r="M107" s="3">
        <v>783797.89</v>
      </c>
      <c r="N107" s="3">
        <v>157620.7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 t="s">
        <v>48</v>
      </c>
      <c r="B108" s="4">
        <v>45717.0</v>
      </c>
      <c r="C108" s="3" t="s">
        <v>27</v>
      </c>
      <c r="D108" s="3" t="s">
        <v>18</v>
      </c>
      <c r="E108" s="3">
        <v>64294.23</v>
      </c>
      <c r="F108" s="3">
        <v>6992.0</v>
      </c>
      <c r="G108" s="3">
        <v>0.133</v>
      </c>
      <c r="H108" s="3">
        <v>14.0</v>
      </c>
      <c r="I108" s="3">
        <v>94.1</v>
      </c>
      <c r="J108" s="3">
        <v>0.25</v>
      </c>
      <c r="K108" s="3">
        <v>0.0</v>
      </c>
      <c r="L108" s="3">
        <v>3.0</v>
      </c>
      <c r="M108" s="3">
        <v>795153.84</v>
      </c>
      <c r="N108" s="3">
        <v>143194.21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 t="s">
        <v>48</v>
      </c>
      <c r="B109" s="4">
        <v>45748.0</v>
      </c>
      <c r="C109" s="3" t="s">
        <v>27</v>
      </c>
      <c r="D109" s="3" t="s">
        <v>18</v>
      </c>
      <c r="E109" s="3">
        <v>31042.03</v>
      </c>
      <c r="F109" s="3">
        <v>7107.0</v>
      </c>
      <c r="G109" s="3">
        <v>0.051</v>
      </c>
      <c r="H109" s="3">
        <v>15.0</v>
      </c>
      <c r="I109" s="3">
        <v>87.0</v>
      </c>
      <c r="J109" s="3">
        <v>13.33</v>
      </c>
      <c r="K109" s="3">
        <v>0.0</v>
      </c>
      <c r="L109" s="3">
        <v>3.2</v>
      </c>
      <c r="M109" s="3">
        <v>665594.94</v>
      </c>
      <c r="N109" s="3">
        <v>127597.34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 t="s">
        <v>49</v>
      </c>
      <c r="B110" s="4">
        <v>45658.0</v>
      </c>
      <c r="C110" s="3" t="s">
        <v>15</v>
      </c>
      <c r="D110" s="3" t="s">
        <v>28</v>
      </c>
      <c r="E110" s="3">
        <v>75265.02</v>
      </c>
      <c r="F110" s="3">
        <v>6975.0</v>
      </c>
      <c r="G110" s="3">
        <v>0.157</v>
      </c>
      <c r="H110" s="3">
        <v>20.0</v>
      </c>
      <c r="I110" s="3">
        <v>73.8</v>
      </c>
      <c r="J110" s="3">
        <v>6.35</v>
      </c>
      <c r="K110" s="3">
        <v>1.0</v>
      </c>
      <c r="L110" s="3">
        <v>3.8</v>
      </c>
      <c r="M110" s="3">
        <v>709478.39</v>
      </c>
      <c r="N110" s="3">
        <v>71294.27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 t="s">
        <v>49</v>
      </c>
      <c r="B111" s="4">
        <v>45689.0</v>
      </c>
      <c r="C111" s="3" t="s">
        <v>15</v>
      </c>
      <c r="D111" s="3" t="s">
        <v>28</v>
      </c>
      <c r="E111" s="3">
        <v>69411.7</v>
      </c>
      <c r="F111" s="3">
        <v>5493.0</v>
      </c>
      <c r="G111" s="3">
        <v>0.292</v>
      </c>
      <c r="H111" s="3">
        <v>13.0</v>
      </c>
      <c r="I111" s="3">
        <v>86.5</v>
      </c>
      <c r="J111" s="3">
        <v>6.69</v>
      </c>
      <c r="K111" s="3">
        <v>0.0</v>
      </c>
      <c r="L111" s="3">
        <v>3.8</v>
      </c>
      <c r="M111" s="3">
        <v>664162.49</v>
      </c>
      <c r="N111" s="3">
        <v>98291.06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 t="s">
        <v>49</v>
      </c>
      <c r="B112" s="4">
        <v>45717.0</v>
      </c>
      <c r="C112" s="3" t="s">
        <v>15</v>
      </c>
      <c r="D112" s="3" t="s">
        <v>28</v>
      </c>
      <c r="E112" s="3">
        <v>51056.15</v>
      </c>
      <c r="F112" s="3">
        <v>5686.0</v>
      </c>
      <c r="G112" s="3">
        <v>0.089</v>
      </c>
      <c r="H112" s="3">
        <v>13.0</v>
      </c>
      <c r="I112" s="3">
        <v>89.9</v>
      </c>
      <c r="J112" s="3">
        <v>1.28</v>
      </c>
      <c r="K112" s="3">
        <v>0.0</v>
      </c>
      <c r="L112" s="3">
        <v>4.2</v>
      </c>
      <c r="M112" s="3">
        <v>633494.21</v>
      </c>
      <c r="N112" s="3">
        <v>105739.47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 t="s">
        <v>49</v>
      </c>
      <c r="B113" s="4">
        <v>45748.0</v>
      </c>
      <c r="C113" s="3" t="s">
        <v>15</v>
      </c>
      <c r="D113" s="3" t="s">
        <v>28</v>
      </c>
      <c r="E113" s="3">
        <v>52758.01</v>
      </c>
      <c r="F113" s="3">
        <v>4063.0</v>
      </c>
      <c r="G113" s="3">
        <v>0.057</v>
      </c>
      <c r="H113" s="3">
        <v>12.0</v>
      </c>
      <c r="I113" s="3">
        <v>91.7</v>
      </c>
      <c r="J113" s="3">
        <v>0.92</v>
      </c>
      <c r="K113" s="3">
        <v>0.0</v>
      </c>
      <c r="L113" s="3">
        <v>3.5</v>
      </c>
      <c r="M113" s="3">
        <v>713611.16</v>
      </c>
      <c r="N113" s="3">
        <v>129717.18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 t="s">
        <v>50</v>
      </c>
      <c r="B114" s="4">
        <v>45658.0</v>
      </c>
      <c r="C114" s="3" t="s">
        <v>27</v>
      </c>
      <c r="D114" s="3" t="s">
        <v>28</v>
      </c>
      <c r="E114" s="3">
        <v>61426.04</v>
      </c>
      <c r="F114" s="3">
        <v>8966.0</v>
      </c>
      <c r="G114" s="3">
        <v>0.173</v>
      </c>
      <c r="H114" s="3">
        <v>22.0</v>
      </c>
      <c r="I114" s="3">
        <v>76.4</v>
      </c>
      <c r="J114" s="3">
        <v>1.05</v>
      </c>
      <c r="K114" s="3">
        <v>0.0</v>
      </c>
      <c r="L114" s="3">
        <v>3.1</v>
      </c>
      <c r="M114" s="3">
        <v>778397.97</v>
      </c>
      <c r="N114" s="3">
        <v>120044.41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 t="s">
        <v>50</v>
      </c>
      <c r="B115" s="4">
        <v>45689.0</v>
      </c>
      <c r="C115" s="3" t="s">
        <v>27</v>
      </c>
      <c r="D115" s="3" t="s">
        <v>28</v>
      </c>
      <c r="E115" s="3">
        <v>80176.34</v>
      </c>
      <c r="F115" s="3">
        <v>9489.0</v>
      </c>
      <c r="G115" s="3">
        <v>0.142</v>
      </c>
      <c r="H115" s="3">
        <v>22.0</v>
      </c>
      <c r="I115" s="3">
        <v>94.3</v>
      </c>
      <c r="J115" s="3">
        <v>2.67</v>
      </c>
      <c r="K115" s="3">
        <v>0.0</v>
      </c>
      <c r="L115" s="3">
        <v>3.5</v>
      </c>
      <c r="M115" s="3">
        <v>873380.02</v>
      </c>
      <c r="N115" s="3">
        <v>149734.76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 t="s">
        <v>50</v>
      </c>
      <c r="B116" s="4">
        <v>45717.0</v>
      </c>
      <c r="C116" s="3" t="s">
        <v>27</v>
      </c>
      <c r="D116" s="3" t="s">
        <v>28</v>
      </c>
      <c r="E116" s="3">
        <v>33605.18</v>
      </c>
      <c r="F116" s="3">
        <v>9225.0</v>
      </c>
      <c r="G116" s="3">
        <v>0.159</v>
      </c>
      <c r="H116" s="3">
        <v>23.0</v>
      </c>
      <c r="I116" s="3">
        <v>88.4</v>
      </c>
      <c r="J116" s="3">
        <v>5.91</v>
      </c>
      <c r="K116" s="3">
        <v>0.0</v>
      </c>
      <c r="L116" s="3">
        <v>2.8</v>
      </c>
      <c r="M116" s="3">
        <v>697287.9</v>
      </c>
      <c r="N116" s="3">
        <v>128208.33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 t="s">
        <v>50</v>
      </c>
      <c r="B117" s="4">
        <v>45748.0</v>
      </c>
      <c r="C117" s="3" t="s">
        <v>27</v>
      </c>
      <c r="D117" s="3" t="s">
        <v>28</v>
      </c>
      <c r="E117" s="3">
        <v>25990.54</v>
      </c>
      <c r="F117" s="3">
        <v>9249.0</v>
      </c>
      <c r="G117" s="3">
        <v>0.139</v>
      </c>
      <c r="H117" s="3">
        <v>23.0</v>
      </c>
      <c r="I117" s="3">
        <v>92.5</v>
      </c>
      <c r="J117" s="3">
        <v>6.37</v>
      </c>
      <c r="K117" s="3">
        <v>0.0</v>
      </c>
      <c r="L117" s="3">
        <v>3.3</v>
      </c>
      <c r="M117" s="3">
        <v>718074.79</v>
      </c>
      <c r="N117" s="3">
        <v>115819.87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 t="s">
        <v>51</v>
      </c>
      <c r="B118" s="4">
        <v>45658.0</v>
      </c>
      <c r="C118" s="3" t="s">
        <v>27</v>
      </c>
      <c r="D118" s="3" t="s">
        <v>16</v>
      </c>
      <c r="E118" s="3">
        <v>43685.14</v>
      </c>
      <c r="F118" s="3">
        <v>7821.0</v>
      </c>
      <c r="G118" s="3">
        <v>0.19</v>
      </c>
      <c r="H118" s="3">
        <v>17.0</v>
      </c>
      <c r="I118" s="3">
        <v>91.0</v>
      </c>
      <c r="J118" s="3">
        <v>2.49</v>
      </c>
      <c r="K118" s="3">
        <v>1.0</v>
      </c>
      <c r="L118" s="3">
        <v>4.7</v>
      </c>
      <c r="M118" s="3">
        <v>714942.43</v>
      </c>
      <c r="N118" s="3">
        <v>94697.71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 t="s">
        <v>51</v>
      </c>
      <c r="B119" s="4">
        <v>45689.0</v>
      </c>
      <c r="C119" s="3" t="s">
        <v>27</v>
      </c>
      <c r="D119" s="3" t="s">
        <v>16</v>
      </c>
      <c r="E119" s="3">
        <v>57360.01</v>
      </c>
      <c r="F119" s="3">
        <v>8434.0</v>
      </c>
      <c r="G119" s="3">
        <v>0.151</v>
      </c>
      <c r="H119" s="3">
        <v>19.0</v>
      </c>
      <c r="I119" s="3">
        <v>84.1</v>
      </c>
      <c r="J119" s="3">
        <v>1.56</v>
      </c>
      <c r="K119" s="3">
        <v>0.0</v>
      </c>
      <c r="L119" s="3">
        <v>4.7</v>
      </c>
      <c r="M119" s="3">
        <v>820519.04</v>
      </c>
      <c r="N119" s="3">
        <v>99035.88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 t="s">
        <v>51</v>
      </c>
      <c r="B120" s="4">
        <v>45717.0</v>
      </c>
      <c r="C120" s="3" t="s">
        <v>27</v>
      </c>
      <c r="D120" s="3" t="s">
        <v>16</v>
      </c>
      <c r="E120" s="3">
        <v>42415.47</v>
      </c>
      <c r="F120" s="3">
        <v>8512.0</v>
      </c>
      <c r="G120" s="3">
        <v>0.133</v>
      </c>
      <c r="H120" s="3">
        <v>18.0</v>
      </c>
      <c r="I120" s="3">
        <v>96.8</v>
      </c>
      <c r="J120" s="3">
        <v>14.95</v>
      </c>
      <c r="K120" s="3">
        <v>0.0</v>
      </c>
      <c r="L120" s="3">
        <v>4.6</v>
      </c>
      <c r="M120" s="3">
        <v>684217.32</v>
      </c>
      <c r="N120" s="3">
        <v>136217.19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 t="s">
        <v>51</v>
      </c>
      <c r="B121" s="4">
        <v>45748.0</v>
      </c>
      <c r="C121" s="3" t="s">
        <v>27</v>
      </c>
      <c r="D121" s="3" t="s">
        <v>16</v>
      </c>
      <c r="E121" s="3">
        <v>54968.98</v>
      </c>
      <c r="F121" s="3">
        <v>7816.0</v>
      </c>
      <c r="G121" s="3">
        <v>0.232</v>
      </c>
      <c r="H121" s="3">
        <v>19.0</v>
      </c>
      <c r="I121" s="3">
        <v>95.7</v>
      </c>
      <c r="J121" s="3">
        <v>7.85</v>
      </c>
      <c r="K121" s="3">
        <v>0.0</v>
      </c>
      <c r="L121" s="3">
        <v>4.7</v>
      </c>
      <c r="M121" s="3">
        <v>735480.19</v>
      </c>
      <c r="N121" s="3">
        <v>88342.11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 t="s">
        <v>52</v>
      </c>
      <c r="B122" s="4">
        <v>45658.0</v>
      </c>
      <c r="C122" s="3" t="s">
        <v>20</v>
      </c>
      <c r="D122" s="3" t="s">
        <v>18</v>
      </c>
      <c r="E122" s="3">
        <v>43896.13</v>
      </c>
      <c r="F122" s="3">
        <v>3853.0</v>
      </c>
      <c r="G122" s="3">
        <v>0.088</v>
      </c>
      <c r="H122" s="3">
        <v>13.0</v>
      </c>
      <c r="I122" s="3">
        <v>83.0</v>
      </c>
      <c r="J122" s="3">
        <v>6.8</v>
      </c>
      <c r="K122" s="3">
        <v>0.0</v>
      </c>
      <c r="L122" s="3">
        <v>4.4</v>
      </c>
      <c r="M122" s="3">
        <v>509484.81</v>
      </c>
      <c r="N122" s="3">
        <v>85742.36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 t="s">
        <v>52</v>
      </c>
      <c r="B123" s="4">
        <v>45689.0</v>
      </c>
      <c r="C123" s="3" t="s">
        <v>20</v>
      </c>
      <c r="D123" s="3" t="s">
        <v>18</v>
      </c>
      <c r="E123" s="3">
        <v>83044.17</v>
      </c>
      <c r="F123" s="3">
        <v>3694.0</v>
      </c>
      <c r="G123" s="3">
        <v>0.0</v>
      </c>
      <c r="H123" s="3">
        <v>14.0</v>
      </c>
      <c r="I123" s="3">
        <v>89.4</v>
      </c>
      <c r="J123" s="3">
        <v>2.2</v>
      </c>
      <c r="K123" s="3">
        <v>0.0</v>
      </c>
      <c r="L123" s="3">
        <v>3.7</v>
      </c>
      <c r="M123" s="3">
        <v>654317.09</v>
      </c>
      <c r="N123" s="3">
        <v>121446.89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 t="s">
        <v>52</v>
      </c>
      <c r="B124" s="4">
        <v>45717.0</v>
      </c>
      <c r="C124" s="3" t="s">
        <v>20</v>
      </c>
      <c r="D124" s="3" t="s">
        <v>18</v>
      </c>
      <c r="E124" s="3">
        <v>48396.13</v>
      </c>
      <c r="F124" s="3">
        <v>4423.0</v>
      </c>
      <c r="G124" s="3">
        <v>0.069</v>
      </c>
      <c r="H124" s="3">
        <v>15.0</v>
      </c>
      <c r="I124" s="3">
        <v>85.7</v>
      </c>
      <c r="J124" s="3">
        <v>1.88</v>
      </c>
      <c r="K124" s="3">
        <v>0.0</v>
      </c>
      <c r="L124" s="3">
        <v>3.9</v>
      </c>
      <c r="M124" s="3">
        <v>557487.26</v>
      </c>
      <c r="N124" s="3">
        <v>76432.19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 t="s">
        <v>52</v>
      </c>
      <c r="B125" s="4">
        <v>45748.0</v>
      </c>
      <c r="C125" s="3" t="s">
        <v>20</v>
      </c>
      <c r="D125" s="3" t="s">
        <v>18</v>
      </c>
      <c r="E125" s="3">
        <v>19063.48</v>
      </c>
      <c r="F125" s="3">
        <v>1906.0</v>
      </c>
      <c r="G125" s="3">
        <v>0.216</v>
      </c>
      <c r="H125" s="3">
        <v>10.0</v>
      </c>
      <c r="I125" s="3">
        <v>97.8</v>
      </c>
      <c r="J125" s="3">
        <v>15.79</v>
      </c>
      <c r="K125" s="3">
        <v>0.0</v>
      </c>
      <c r="L125" s="3">
        <v>4.4</v>
      </c>
      <c r="M125" s="3">
        <v>441275.42</v>
      </c>
      <c r="N125" s="3">
        <v>58234.87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 t="s">
        <v>53</v>
      </c>
      <c r="B126" s="4">
        <v>45658.0</v>
      </c>
      <c r="C126" s="3" t="s">
        <v>24</v>
      </c>
      <c r="D126" s="3" t="s">
        <v>18</v>
      </c>
      <c r="E126" s="3">
        <v>61541.21</v>
      </c>
      <c r="F126" s="3">
        <v>10396.0</v>
      </c>
      <c r="G126" s="3">
        <v>0.123</v>
      </c>
      <c r="H126" s="3">
        <v>25.0</v>
      </c>
      <c r="I126" s="3">
        <v>88.1</v>
      </c>
      <c r="J126" s="3">
        <v>2.34</v>
      </c>
      <c r="K126" s="3">
        <v>1.0</v>
      </c>
      <c r="L126" s="3">
        <v>4.8</v>
      </c>
      <c r="M126" s="3">
        <v>914544.17</v>
      </c>
      <c r="N126" s="3">
        <v>79831.73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 t="s">
        <v>53</v>
      </c>
      <c r="B127" s="4">
        <v>45689.0</v>
      </c>
      <c r="C127" s="3" t="s">
        <v>24</v>
      </c>
      <c r="D127" s="3" t="s">
        <v>18</v>
      </c>
      <c r="E127" s="3">
        <v>44747.0</v>
      </c>
      <c r="F127" s="3">
        <v>11076.0</v>
      </c>
      <c r="G127" s="3">
        <v>0.176</v>
      </c>
      <c r="H127" s="3">
        <v>27.0</v>
      </c>
      <c r="I127" s="3">
        <v>98.3</v>
      </c>
      <c r="J127" s="3">
        <v>0.54</v>
      </c>
      <c r="K127" s="3">
        <v>0.0</v>
      </c>
      <c r="L127" s="3">
        <v>4.4</v>
      </c>
      <c r="M127" s="3">
        <v>842439.67</v>
      </c>
      <c r="N127" s="3">
        <v>169983.63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 t="s">
        <v>53</v>
      </c>
      <c r="B128" s="4">
        <v>45717.0</v>
      </c>
      <c r="C128" s="3" t="s">
        <v>24</v>
      </c>
      <c r="D128" s="3" t="s">
        <v>18</v>
      </c>
      <c r="E128" s="3">
        <v>56517.9</v>
      </c>
      <c r="F128" s="3">
        <v>9574.0</v>
      </c>
      <c r="G128" s="3">
        <v>0.204</v>
      </c>
      <c r="H128" s="3">
        <v>20.0</v>
      </c>
      <c r="I128" s="3">
        <v>88.2</v>
      </c>
      <c r="J128" s="3">
        <v>5.37</v>
      </c>
      <c r="K128" s="3">
        <v>1.0</v>
      </c>
      <c r="L128" s="3">
        <v>4.9</v>
      </c>
      <c r="M128" s="3">
        <v>842157.92</v>
      </c>
      <c r="N128" s="3">
        <v>107348.22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 t="s">
        <v>53</v>
      </c>
      <c r="B129" s="4">
        <v>45748.0</v>
      </c>
      <c r="C129" s="3" t="s">
        <v>24</v>
      </c>
      <c r="D129" s="3" t="s">
        <v>18</v>
      </c>
      <c r="E129" s="3">
        <v>37828.5</v>
      </c>
      <c r="F129" s="3">
        <v>8221.0</v>
      </c>
      <c r="G129" s="3">
        <v>0.096</v>
      </c>
      <c r="H129" s="3">
        <v>19.0</v>
      </c>
      <c r="I129" s="3">
        <v>81.5</v>
      </c>
      <c r="J129" s="3">
        <v>3.19</v>
      </c>
      <c r="K129" s="3">
        <v>0.0</v>
      </c>
      <c r="L129" s="3">
        <v>4.8</v>
      </c>
      <c r="M129" s="3">
        <v>697155.3</v>
      </c>
      <c r="N129" s="3">
        <v>136408.54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 t="s">
        <v>54</v>
      </c>
      <c r="B130" s="4">
        <v>45658.0</v>
      </c>
      <c r="C130" s="3" t="s">
        <v>15</v>
      </c>
      <c r="D130" s="3" t="s">
        <v>18</v>
      </c>
      <c r="E130" s="3">
        <v>66250.53</v>
      </c>
      <c r="F130" s="3">
        <v>10618.0</v>
      </c>
      <c r="G130" s="3">
        <v>0.142</v>
      </c>
      <c r="H130" s="3">
        <v>27.0</v>
      </c>
      <c r="I130" s="3">
        <v>88.3</v>
      </c>
      <c r="J130" s="3">
        <v>1.1</v>
      </c>
      <c r="K130" s="3">
        <v>1.0</v>
      </c>
      <c r="L130" s="3">
        <v>4.4</v>
      </c>
      <c r="M130" s="3">
        <v>849018.3</v>
      </c>
      <c r="N130" s="3">
        <v>149035.13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 t="s">
        <v>54</v>
      </c>
      <c r="B131" s="4">
        <v>45689.0</v>
      </c>
      <c r="C131" s="3" t="s">
        <v>15</v>
      </c>
      <c r="D131" s="3" t="s">
        <v>18</v>
      </c>
      <c r="E131" s="3">
        <v>68410.93</v>
      </c>
      <c r="F131" s="3">
        <v>10596.0</v>
      </c>
      <c r="G131" s="3">
        <v>0.207</v>
      </c>
      <c r="H131" s="3">
        <v>25.0</v>
      </c>
      <c r="I131" s="3">
        <v>81.2</v>
      </c>
      <c r="J131" s="3">
        <v>0.21</v>
      </c>
      <c r="K131" s="3">
        <v>0.0</v>
      </c>
      <c r="L131" s="3">
        <v>4.0</v>
      </c>
      <c r="M131" s="3">
        <v>801830.35</v>
      </c>
      <c r="N131" s="3">
        <v>114875.32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 t="s">
        <v>54</v>
      </c>
      <c r="B132" s="4">
        <v>45717.0</v>
      </c>
      <c r="C132" s="3" t="s">
        <v>15</v>
      </c>
      <c r="D132" s="3" t="s">
        <v>18</v>
      </c>
      <c r="E132" s="3">
        <v>50735.63</v>
      </c>
      <c r="F132" s="3">
        <v>9619.0</v>
      </c>
      <c r="G132" s="3">
        <v>0.144</v>
      </c>
      <c r="H132" s="3">
        <v>19.0</v>
      </c>
      <c r="I132" s="3">
        <v>93.8</v>
      </c>
      <c r="J132" s="3">
        <v>5.12</v>
      </c>
      <c r="K132" s="3">
        <v>1.0</v>
      </c>
      <c r="L132" s="3">
        <v>4.5</v>
      </c>
      <c r="M132" s="3">
        <v>725235.28</v>
      </c>
      <c r="N132" s="3">
        <v>121632.24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 t="s">
        <v>54</v>
      </c>
      <c r="B133" s="4">
        <v>45748.0</v>
      </c>
      <c r="C133" s="3" t="s">
        <v>15</v>
      </c>
      <c r="D133" s="3" t="s">
        <v>18</v>
      </c>
      <c r="E133" s="3">
        <v>66455.8</v>
      </c>
      <c r="F133" s="3">
        <v>10836.0</v>
      </c>
      <c r="G133" s="3">
        <v>0.089</v>
      </c>
      <c r="H133" s="3">
        <v>25.0</v>
      </c>
      <c r="I133" s="3">
        <v>85.0</v>
      </c>
      <c r="J133" s="3">
        <v>9.77</v>
      </c>
      <c r="K133" s="3">
        <v>0.0</v>
      </c>
      <c r="L133" s="3">
        <v>4.5</v>
      </c>
      <c r="M133" s="3">
        <v>811452.72</v>
      </c>
      <c r="N133" s="3">
        <v>131325.67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 t="s">
        <v>55</v>
      </c>
      <c r="B134" s="4">
        <v>45658.0</v>
      </c>
      <c r="C134" s="3" t="s">
        <v>20</v>
      </c>
      <c r="D134" s="3" t="s">
        <v>18</v>
      </c>
      <c r="E134" s="3">
        <v>70276.28</v>
      </c>
      <c r="F134" s="3">
        <v>3043.0</v>
      </c>
      <c r="G134" s="3">
        <v>0.079</v>
      </c>
      <c r="H134" s="3">
        <v>9.0</v>
      </c>
      <c r="I134" s="3">
        <v>87.9</v>
      </c>
      <c r="J134" s="3">
        <v>3.77</v>
      </c>
      <c r="K134" s="3">
        <v>0.0</v>
      </c>
      <c r="L134" s="3">
        <v>4.4</v>
      </c>
      <c r="M134" s="3">
        <v>527300.13</v>
      </c>
      <c r="N134" s="3">
        <v>84197.87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 t="s">
        <v>55</v>
      </c>
      <c r="B135" s="4">
        <v>45689.0</v>
      </c>
      <c r="C135" s="3" t="s">
        <v>20</v>
      </c>
      <c r="D135" s="3" t="s">
        <v>18</v>
      </c>
      <c r="E135" s="3">
        <v>22071.64</v>
      </c>
      <c r="F135" s="3">
        <v>1814.0</v>
      </c>
      <c r="G135" s="3">
        <v>0.196</v>
      </c>
      <c r="H135" s="3">
        <v>8.0</v>
      </c>
      <c r="I135" s="3">
        <v>81.1</v>
      </c>
      <c r="J135" s="3">
        <v>0.78</v>
      </c>
      <c r="K135" s="3">
        <v>0.0</v>
      </c>
      <c r="L135" s="3">
        <v>3.9</v>
      </c>
      <c r="M135" s="3">
        <v>400831.65</v>
      </c>
      <c r="N135" s="3">
        <v>70979.31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 t="s">
        <v>55</v>
      </c>
      <c r="B136" s="4">
        <v>45717.0</v>
      </c>
      <c r="C136" s="3" t="s">
        <v>20</v>
      </c>
      <c r="D136" s="3" t="s">
        <v>18</v>
      </c>
      <c r="E136" s="3">
        <v>52285.45</v>
      </c>
      <c r="F136" s="3">
        <v>3618.0</v>
      </c>
      <c r="G136" s="3">
        <v>0.086</v>
      </c>
      <c r="H136" s="3">
        <v>11.0</v>
      </c>
      <c r="I136" s="3">
        <v>95.6</v>
      </c>
      <c r="J136" s="3">
        <v>5.17</v>
      </c>
      <c r="K136" s="3">
        <v>1.0</v>
      </c>
      <c r="L136" s="3">
        <v>4.4</v>
      </c>
      <c r="M136" s="3">
        <v>593247.25</v>
      </c>
      <c r="N136" s="3">
        <v>81240.29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 t="s">
        <v>55</v>
      </c>
      <c r="B137" s="4">
        <v>45748.0</v>
      </c>
      <c r="C137" s="3" t="s">
        <v>20</v>
      </c>
      <c r="D137" s="3" t="s">
        <v>18</v>
      </c>
      <c r="E137" s="3">
        <v>70366.76</v>
      </c>
      <c r="F137" s="3">
        <v>1963.0</v>
      </c>
      <c r="G137" s="3">
        <v>0.182</v>
      </c>
      <c r="H137" s="3">
        <v>8.0</v>
      </c>
      <c r="I137" s="3">
        <v>89.8</v>
      </c>
      <c r="J137" s="3">
        <v>3.2</v>
      </c>
      <c r="K137" s="3">
        <v>0.0</v>
      </c>
      <c r="L137" s="3">
        <v>4.6</v>
      </c>
      <c r="M137" s="3">
        <v>529075.95</v>
      </c>
      <c r="N137" s="3">
        <v>95978.83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 t="s">
        <v>56</v>
      </c>
      <c r="B138" s="4">
        <v>45658.0</v>
      </c>
      <c r="C138" s="3" t="s">
        <v>24</v>
      </c>
      <c r="D138" s="3" t="s">
        <v>16</v>
      </c>
      <c r="E138" s="3">
        <v>71320.66</v>
      </c>
      <c r="F138" s="3">
        <v>7888.0</v>
      </c>
      <c r="G138" s="3">
        <v>0.048</v>
      </c>
      <c r="H138" s="3">
        <v>20.0</v>
      </c>
      <c r="I138" s="3">
        <v>78.1</v>
      </c>
      <c r="J138" s="3">
        <v>3.4</v>
      </c>
      <c r="K138" s="3">
        <v>0.0</v>
      </c>
      <c r="L138" s="3">
        <v>3.9</v>
      </c>
      <c r="M138" s="3">
        <v>633638.03</v>
      </c>
      <c r="N138" s="3">
        <v>99402.01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 t="s">
        <v>56</v>
      </c>
      <c r="B139" s="4">
        <v>45689.0</v>
      </c>
      <c r="C139" s="3" t="s">
        <v>24</v>
      </c>
      <c r="D139" s="3" t="s">
        <v>16</v>
      </c>
      <c r="E139" s="3">
        <v>75109.67</v>
      </c>
      <c r="F139" s="3">
        <v>6244.0</v>
      </c>
      <c r="G139" s="3">
        <v>0.079</v>
      </c>
      <c r="H139" s="3">
        <v>15.0</v>
      </c>
      <c r="I139" s="3">
        <v>96.3</v>
      </c>
      <c r="J139" s="3">
        <v>7.38</v>
      </c>
      <c r="K139" s="3">
        <v>0.0</v>
      </c>
      <c r="L139" s="3">
        <v>3.7</v>
      </c>
      <c r="M139" s="3">
        <v>743348.84</v>
      </c>
      <c r="N139" s="3">
        <v>104186.09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 t="s">
        <v>56</v>
      </c>
      <c r="B140" s="4">
        <v>45717.0</v>
      </c>
      <c r="C140" s="3" t="s">
        <v>24</v>
      </c>
      <c r="D140" s="3" t="s">
        <v>16</v>
      </c>
      <c r="E140" s="3">
        <v>69779.0</v>
      </c>
      <c r="F140" s="3">
        <v>6544.0</v>
      </c>
      <c r="G140" s="3">
        <v>0.152</v>
      </c>
      <c r="H140" s="3">
        <v>18.0</v>
      </c>
      <c r="I140" s="3">
        <v>90.2</v>
      </c>
      <c r="J140" s="3">
        <v>0.85</v>
      </c>
      <c r="K140" s="3">
        <v>1.0</v>
      </c>
      <c r="L140" s="3">
        <v>3.3</v>
      </c>
      <c r="M140" s="3">
        <v>758827.64</v>
      </c>
      <c r="N140" s="3">
        <v>161439.48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 t="s">
        <v>56</v>
      </c>
      <c r="B141" s="4">
        <v>45748.0</v>
      </c>
      <c r="C141" s="3" t="s">
        <v>24</v>
      </c>
      <c r="D141" s="3" t="s">
        <v>16</v>
      </c>
      <c r="E141" s="3">
        <v>44211.95</v>
      </c>
      <c r="F141" s="3">
        <v>5465.0</v>
      </c>
      <c r="G141" s="3">
        <v>0.187</v>
      </c>
      <c r="H141" s="3">
        <v>12.0</v>
      </c>
      <c r="I141" s="3">
        <v>90.0</v>
      </c>
      <c r="J141" s="3">
        <v>2.89</v>
      </c>
      <c r="K141" s="3">
        <v>0.0</v>
      </c>
      <c r="L141" s="3">
        <v>3.6</v>
      </c>
      <c r="M141" s="3">
        <v>646559.71</v>
      </c>
      <c r="N141" s="3">
        <v>97981.75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 t="s">
        <v>57</v>
      </c>
      <c r="B142" s="4">
        <v>45658.0</v>
      </c>
      <c r="C142" s="3" t="s">
        <v>27</v>
      </c>
      <c r="D142" s="3" t="s">
        <v>18</v>
      </c>
      <c r="E142" s="3">
        <v>51430.31</v>
      </c>
      <c r="F142" s="3">
        <v>6427.0</v>
      </c>
      <c r="G142" s="3">
        <v>0.234</v>
      </c>
      <c r="H142" s="3">
        <v>14.0</v>
      </c>
      <c r="I142" s="3">
        <v>88.8</v>
      </c>
      <c r="J142" s="3">
        <v>0.77</v>
      </c>
      <c r="K142" s="3">
        <v>0.0</v>
      </c>
      <c r="L142" s="3">
        <v>4.1</v>
      </c>
      <c r="M142" s="3">
        <v>715890.53</v>
      </c>
      <c r="N142" s="3">
        <v>109032.15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 t="s">
        <v>57</v>
      </c>
      <c r="B143" s="4">
        <v>45689.0</v>
      </c>
      <c r="C143" s="3" t="s">
        <v>27</v>
      </c>
      <c r="D143" s="3" t="s">
        <v>18</v>
      </c>
      <c r="E143" s="3">
        <v>45706.49</v>
      </c>
      <c r="F143" s="3">
        <v>6704.0</v>
      </c>
      <c r="G143" s="3">
        <v>0.038</v>
      </c>
      <c r="H143" s="3">
        <v>15.0</v>
      </c>
      <c r="I143" s="3">
        <v>94.2</v>
      </c>
      <c r="J143" s="3">
        <v>2.92</v>
      </c>
      <c r="K143" s="3">
        <v>0.0</v>
      </c>
      <c r="L143" s="3">
        <v>4.2</v>
      </c>
      <c r="M143" s="3">
        <v>715097.57</v>
      </c>
      <c r="N143" s="3">
        <v>151875.86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 t="s">
        <v>57</v>
      </c>
      <c r="B144" s="4">
        <v>45717.0</v>
      </c>
      <c r="C144" s="3" t="s">
        <v>27</v>
      </c>
      <c r="D144" s="3" t="s">
        <v>18</v>
      </c>
      <c r="E144" s="3">
        <v>44034.6</v>
      </c>
      <c r="F144" s="3">
        <v>5645.0</v>
      </c>
      <c r="G144" s="3">
        <v>0.069</v>
      </c>
      <c r="H144" s="3">
        <v>18.0</v>
      </c>
      <c r="I144" s="3">
        <v>88.5</v>
      </c>
      <c r="J144" s="3">
        <v>3.07</v>
      </c>
      <c r="K144" s="3">
        <v>0.0</v>
      </c>
      <c r="L144" s="3">
        <v>3.8</v>
      </c>
      <c r="M144" s="3">
        <v>682639.28</v>
      </c>
      <c r="N144" s="3">
        <v>77557.53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 t="s">
        <v>57</v>
      </c>
      <c r="B145" s="4">
        <v>45748.0</v>
      </c>
      <c r="C145" s="3" t="s">
        <v>27</v>
      </c>
      <c r="D145" s="3" t="s">
        <v>18</v>
      </c>
      <c r="E145" s="3">
        <v>50198.12</v>
      </c>
      <c r="F145" s="3">
        <v>6089.0</v>
      </c>
      <c r="G145" s="3">
        <v>0.182</v>
      </c>
      <c r="H145" s="3">
        <v>19.0</v>
      </c>
      <c r="I145" s="3">
        <v>94.0</v>
      </c>
      <c r="J145" s="3">
        <v>9.7</v>
      </c>
      <c r="K145" s="3">
        <v>0.0</v>
      </c>
      <c r="L145" s="3">
        <v>3.9</v>
      </c>
      <c r="M145" s="3">
        <v>695098.51</v>
      </c>
      <c r="N145" s="3">
        <v>108192.75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 t="s">
        <v>58</v>
      </c>
      <c r="B146" s="4">
        <v>45658.0</v>
      </c>
      <c r="C146" s="3" t="s">
        <v>20</v>
      </c>
      <c r="D146" s="3" t="s">
        <v>16</v>
      </c>
      <c r="E146" s="3">
        <v>70488.2</v>
      </c>
      <c r="F146" s="3">
        <v>4312.0</v>
      </c>
      <c r="G146" s="3">
        <v>0.169</v>
      </c>
      <c r="H146" s="3">
        <v>12.0</v>
      </c>
      <c r="I146" s="3">
        <v>90.2</v>
      </c>
      <c r="J146" s="3">
        <v>3.71</v>
      </c>
      <c r="K146" s="3">
        <v>0.0</v>
      </c>
      <c r="L146" s="3">
        <v>3.2</v>
      </c>
      <c r="M146" s="3">
        <v>577732.57</v>
      </c>
      <c r="N146" s="3">
        <v>93804.27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 t="s">
        <v>58</v>
      </c>
      <c r="B147" s="4">
        <v>45689.0</v>
      </c>
      <c r="C147" s="3" t="s">
        <v>20</v>
      </c>
      <c r="D147" s="3" t="s">
        <v>16</v>
      </c>
      <c r="E147" s="3">
        <v>50909.27</v>
      </c>
      <c r="F147" s="3">
        <v>3152.0</v>
      </c>
      <c r="G147" s="3">
        <v>0.06</v>
      </c>
      <c r="H147" s="3">
        <v>13.0</v>
      </c>
      <c r="I147" s="3">
        <v>93.7</v>
      </c>
      <c r="J147" s="3">
        <v>10.79</v>
      </c>
      <c r="K147" s="3">
        <v>0.0</v>
      </c>
      <c r="L147" s="3">
        <v>3.5</v>
      </c>
      <c r="M147" s="3">
        <v>537058.33</v>
      </c>
      <c r="N147" s="3">
        <v>93555.71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 t="s">
        <v>58</v>
      </c>
      <c r="B148" s="4">
        <v>45717.0</v>
      </c>
      <c r="C148" s="3" t="s">
        <v>20</v>
      </c>
      <c r="D148" s="3" t="s">
        <v>16</v>
      </c>
      <c r="E148" s="3">
        <v>53351.7</v>
      </c>
      <c r="F148" s="3">
        <v>4259.0</v>
      </c>
      <c r="G148" s="3">
        <v>0.156</v>
      </c>
      <c r="H148" s="3">
        <v>15.0</v>
      </c>
      <c r="I148" s="3">
        <v>93.7</v>
      </c>
      <c r="J148" s="3">
        <v>6.03</v>
      </c>
      <c r="K148" s="3">
        <v>0.0</v>
      </c>
      <c r="L148" s="3">
        <v>3.4</v>
      </c>
      <c r="M148" s="3">
        <v>601568.87</v>
      </c>
      <c r="N148" s="3">
        <v>91634.82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 t="s">
        <v>58</v>
      </c>
      <c r="B149" s="4">
        <v>45748.0</v>
      </c>
      <c r="C149" s="3" t="s">
        <v>20</v>
      </c>
      <c r="D149" s="3" t="s">
        <v>16</v>
      </c>
      <c r="E149" s="3">
        <v>60322.4</v>
      </c>
      <c r="F149" s="3">
        <v>3350.0</v>
      </c>
      <c r="G149" s="3">
        <v>0.108</v>
      </c>
      <c r="H149" s="3">
        <v>12.0</v>
      </c>
      <c r="I149" s="3">
        <v>89.4</v>
      </c>
      <c r="J149" s="3">
        <v>4.92</v>
      </c>
      <c r="K149" s="3">
        <v>0.0</v>
      </c>
      <c r="L149" s="3">
        <v>3.4</v>
      </c>
      <c r="M149" s="3">
        <v>570964.84</v>
      </c>
      <c r="N149" s="3">
        <v>81331.07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 t="s">
        <v>59</v>
      </c>
      <c r="B150" s="4">
        <v>45658.0</v>
      </c>
      <c r="C150" s="3" t="s">
        <v>24</v>
      </c>
      <c r="D150" s="3" t="s">
        <v>28</v>
      </c>
      <c r="E150" s="3">
        <v>51575.68</v>
      </c>
      <c r="F150" s="3">
        <v>5329.0</v>
      </c>
      <c r="G150" s="3">
        <v>0.047</v>
      </c>
      <c r="H150" s="3">
        <v>17.0</v>
      </c>
      <c r="I150" s="3">
        <v>88.1</v>
      </c>
      <c r="J150" s="3">
        <v>19.78</v>
      </c>
      <c r="K150" s="3">
        <v>0.0</v>
      </c>
      <c r="L150" s="3">
        <v>3.8</v>
      </c>
      <c r="M150" s="3">
        <v>614024.91</v>
      </c>
      <c r="N150" s="3">
        <v>84828.93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 t="s">
        <v>59</v>
      </c>
      <c r="B151" s="4">
        <v>45689.0</v>
      </c>
      <c r="C151" s="3" t="s">
        <v>24</v>
      </c>
      <c r="D151" s="3" t="s">
        <v>28</v>
      </c>
      <c r="E151" s="3">
        <v>43319.94</v>
      </c>
      <c r="F151" s="3">
        <v>6551.0</v>
      </c>
      <c r="G151" s="3">
        <v>0.044</v>
      </c>
      <c r="H151" s="3">
        <v>13.0</v>
      </c>
      <c r="I151" s="3">
        <v>99.0</v>
      </c>
      <c r="J151" s="3">
        <v>5.45</v>
      </c>
      <c r="K151" s="3">
        <v>0.0</v>
      </c>
      <c r="L151" s="3">
        <v>4.1</v>
      </c>
      <c r="M151" s="3">
        <v>712868.35</v>
      </c>
      <c r="N151" s="3">
        <v>133650.51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 t="s">
        <v>59</v>
      </c>
      <c r="B152" s="4">
        <v>45717.0</v>
      </c>
      <c r="C152" s="3" t="s">
        <v>24</v>
      </c>
      <c r="D152" s="3" t="s">
        <v>28</v>
      </c>
      <c r="E152" s="3">
        <v>47093.55</v>
      </c>
      <c r="F152" s="3">
        <v>5550.0</v>
      </c>
      <c r="G152" s="3">
        <v>0.1</v>
      </c>
      <c r="H152" s="3">
        <v>12.0</v>
      </c>
      <c r="I152" s="3">
        <v>95.0</v>
      </c>
      <c r="J152" s="3">
        <v>2.33</v>
      </c>
      <c r="K152" s="3">
        <v>1.0</v>
      </c>
      <c r="L152" s="3">
        <v>3.7</v>
      </c>
      <c r="M152" s="3">
        <v>696744.15</v>
      </c>
      <c r="N152" s="3">
        <v>152230.09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 t="s">
        <v>59</v>
      </c>
      <c r="B153" s="4">
        <v>45748.0</v>
      </c>
      <c r="C153" s="3" t="s">
        <v>24</v>
      </c>
      <c r="D153" s="3" t="s">
        <v>28</v>
      </c>
      <c r="E153" s="3">
        <v>71855.09</v>
      </c>
      <c r="F153" s="3">
        <v>5911.0</v>
      </c>
      <c r="G153" s="3">
        <v>0.197</v>
      </c>
      <c r="H153" s="3">
        <v>15.0</v>
      </c>
      <c r="I153" s="3">
        <v>94.3</v>
      </c>
      <c r="J153" s="3">
        <v>3.55</v>
      </c>
      <c r="K153" s="3">
        <v>0.0</v>
      </c>
      <c r="L153" s="3">
        <v>4.1</v>
      </c>
      <c r="M153" s="3">
        <v>725847.99</v>
      </c>
      <c r="N153" s="3">
        <v>122698.73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 t="s">
        <v>60</v>
      </c>
      <c r="B154" s="4">
        <v>45658.0</v>
      </c>
      <c r="C154" s="3" t="s">
        <v>15</v>
      </c>
      <c r="D154" s="3" t="s">
        <v>18</v>
      </c>
      <c r="E154" s="3">
        <v>75645.23</v>
      </c>
      <c r="F154" s="3">
        <v>9674.0</v>
      </c>
      <c r="G154" s="3">
        <v>0.234</v>
      </c>
      <c r="H154" s="3">
        <v>21.0</v>
      </c>
      <c r="I154" s="3">
        <v>87.4</v>
      </c>
      <c r="J154" s="3">
        <v>0.2</v>
      </c>
      <c r="K154" s="3">
        <v>0.0</v>
      </c>
      <c r="L154" s="3">
        <v>4.5</v>
      </c>
      <c r="M154" s="3">
        <v>785028.25</v>
      </c>
      <c r="N154" s="3">
        <v>110726.44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 t="s">
        <v>60</v>
      </c>
      <c r="B155" s="4">
        <v>45689.0</v>
      </c>
      <c r="C155" s="3" t="s">
        <v>15</v>
      </c>
      <c r="D155" s="3" t="s">
        <v>18</v>
      </c>
      <c r="E155" s="3">
        <v>64374.75</v>
      </c>
      <c r="F155" s="3">
        <v>6740.0</v>
      </c>
      <c r="G155" s="3">
        <v>0.169</v>
      </c>
      <c r="H155" s="3">
        <v>18.0</v>
      </c>
      <c r="I155" s="3">
        <v>87.0</v>
      </c>
      <c r="J155" s="3">
        <v>2.09</v>
      </c>
      <c r="K155" s="3">
        <v>0.0</v>
      </c>
      <c r="L155" s="3">
        <v>4.2</v>
      </c>
      <c r="M155" s="3">
        <v>698492.67</v>
      </c>
      <c r="N155" s="3">
        <v>117319.32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 t="s">
        <v>60</v>
      </c>
      <c r="B156" s="4">
        <v>45717.0</v>
      </c>
      <c r="C156" s="3" t="s">
        <v>15</v>
      </c>
      <c r="D156" s="3" t="s">
        <v>18</v>
      </c>
      <c r="E156" s="3">
        <v>61433.84</v>
      </c>
      <c r="F156" s="3">
        <v>7745.0</v>
      </c>
      <c r="G156" s="3">
        <v>0.18</v>
      </c>
      <c r="H156" s="3">
        <v>16.0</v>
      </c>
      <c r="I156" s="3">
        <v>90.5</v>
      </c>
      <c r="J156" s="3">
        <v>2.26</v>
      </c>
      <c r="K156" s="3">
        <v>0.0</v>
      </c>
      <c r="L156" s="3">
        <v>4.2</v>
      </c>
      <c r="M156" s="3">
        <v>685830.24</v>
      </c>
      <c r="N156" s="3">
        <v>128736.18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 t="s">
        <v>60</v>
      </c>
      <c r="B157" s="4">
        <v>45748.0</v>
      </c>
      <c r="C157" s="3" t="s">
        <v>15</v>
      </c>
      <c r="D157" s="3" t="s">
        <v>18</v>
      </c>
      <c r="E157" s="3">
        <v>42698.14</v>
      </c>
      <c r="F157" s="3">
        <v>7693.0</v>
      </c>
      <c r="G157" s="3">
        <v>0.187</v>
      </c>
      <c r="H157" s="3">
        <v>19.0</v>
      </c>
      <c r="I157" s="3">
        <v>90.1</v>
      </c>
      <c r="J157" s="3">
        <v>0.44</v>
      </c>
      <c r="K157" s="3">
        <v>0.0</v>
      </c>
      <c r="L157" s="3">
        <v>4.4</v>
      </c>
      <c r="M157" s="3">
        <v>702318.94</v>
      </c>
      <c r="N157" s="3">
        <v>112829.29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 t="s">
        <v>61</v>
      </c>
      <c r="B158" s="4">
        <v>45658.0</v>
      </c>
      <c r="C158" s="3" t="s">
        <v>20</v>
      </c>
      <c r="D158" s="3" t="s">
        <v>28</v>
      </c>
      <c r="E158" s="3">
        <v>86883.31</v>
      </c>
      <c r="F158" s="3">
        <v>6424.0</v>
      </c>
      <c r="G158" s="3">
        <v>0.057</v>
      </c>
      <c r="H158" s="3">
        <v>19.0</v>
      </c>
      <c r="I158" s="3">
        <v>85.2</v>
      </c>
      <c r="J158" s="3">
        <v>3.08</v>
      </c>
      <c r="K158" s="3">
        <v>0.0</v>
      </c>
      <c r="L158" s="3">
        <v>3.9</v>
      </c>
      <c r="M158" s="3">
        <v>700078.32</v>
      </c>
      <c r="N158" s="3">
        <v>123707.58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 t="s">
        <v>61</v>
      </c>
      <c r="B159" s="4">
        <v>45689.0</v>
      </c>
      <c r="C159" s="3" t="s">
        <v>20</v>
      </c>
      <c r="D159" s="3" t="s">
        <v>28</v>
      </c>
      <c r="E159" s="3">
        <v>41863.08</v>
      </c>
      <c r="F159" s="3">
        <v>5400.0</v>
      </c>
      <c r="G159" s="3">
        <v>0.114</v>
      </c>
      <c r="H159" s="3">
        <v>11.0</v>
      </c>
      <c r="I159" s="3">
        <v>91.6</v>
      </c>
      <c r="J159" s="3">
        <v>7.99</v>
      </c>
      <c r="K159" s="3">
        <v>0.0</v>
      </c>
      <c r="L159" s="3">
        <v>3.0</v>
      </c>
      <c r="M159" s="3">
        <v>602002.32</v>
      </c>
      <c r="N159" s="3">
        <v>110453.28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 t="s">
        <v>61</v>
      </c>
      <c r="B160" s="4">
        <v>45717.0</v>
      </c>
      <c r="C160" s="3" t="s">
        <v>20</v>
      </c>
      <c r="D160" s="3" t="s">
        <v>28</v>
      </c>
      <c r="E160" s="3">
        <v>56918.16</v>
      </c>
      <c r="F160" s="3">
        <v>7015.0</v>
      </c>
      <c r="G160" s="3">
        <v>0.158</v>
      </c>
      <c r="H160" s="3">
        <v>18.0</v>
      </c>
      <c r="I160" s="3">
        <v>74.2</v>
      </c>
      <c r="J160" s="3">
        <v>0.2</v>
      </c>
      <c r="K160" s="3">
        <v>0.0</v>
      </c>
      <c r="L160" s="3">
        <v>3.4</v>
      </c>
      <c r="M160" s="3">
        <v>724216.07</v>
      </c>
      <c r="N160" s="3">
        <v>100627.56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 t="s">
        <v>61</v>
      </c>
      <c r="B161" s="4">
        <v>45748.0</v>
      </c>
      <c r="C161" s="3" t="s">
        <v>20</v>
      </c>
      <c r="D161" s="3" t="s">
        <v>28</v>
      </c>
      <c r="E161" s="3">
        <v>23254.57</v>
      </c>
      <c r="F161" s="3">
        <v>3847.0</v>
      </c>
      <c r="G161" s="3">
        <v>0.159</v>
      </c>
      <c r="H161" s="3">
        <v>12.0</v>
      </c>
      <c r="I161" s="3">
        <v>93.0</v>
      </c>
      <c r="J161" s="3">
        <v>5.46</v>
      </c>
      <c r="K161" s="3">
        <v>0.0</v>
      </c>
      <c r="L161" s="3">
        <v>3.3</v>
      </c>
      <c r="M161" s="3">
        <v>620973.03</v>
      </c>
      <c r="N161" s="3">
        <v>72303.85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 t="s">
        <v>62</v>
      </c>
      <c r="B162" s="4">
        <v>45658.0</v>
      </c>
      <c r="C162" s="3" t="s">
        <v>24</v>
      </c>
      <c r="D162" s="3" t="s">
        <v>18</v>
      </c>
      <c r="E162" s="3">
        <v>41443.41</v>
      </c>
      <c r="F162" s="3">
        <v>7455.0</v>
      </c>
      <c r="G162" s="3">
        <v>0.175</v>
      </c>
      <c r="H162" s="3">
        <v>16.0</v>
      </c>
      <c r="I162" s="3">
        <v>90.1</v>
      </c>
      <c r="J162" s="3">
        <v>4.05</v>
      </c>
      <c r="K162" s="3">
        <v>0.0</v>
      </c>
      <c r="L162" s="3">
        <v>4.0</v>
      </c>
      <c r="M162" s="3">
        <v>650480.06</v>
      </c>
      <c r="N162" s="3">
        <v>109012.07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 t="s">
        <v>62</v>
      </c>
      <c r="B163" s="4">
        <v>45689.0</v>
      </c>
      <c r="C163" s="3" t="s">
        <v>24</v>
      </c>
      <c r="D163" s="3" t="s">
        <v>18</v>
      </c>
      <c r="E163" s="3">
        <v>48438.85</v>
      </c>
      <c r="F163" s="3">
        <v>6992.0</v>
      </c>
      <c r="G163" s="3">
        <v>0.034</v>
      </c>
      <c r="H163" s="3">
        <v>20.0</v>
      </c>
      <c r="I163" s="3">
        <v>91.0</v>
      </c>
      <c r="J163" s="3">
        <v>4.36</v>
      </c>
      <c r="K163" s="3">
        <v>0.0</v>
      </c>
      <c r="L163" s="3">
        <v>4.2</v>
      </c>
      <c r="M163" s="3">
        <v>778298.88</v>
      </c>
      <c r="N163" s="3">
        <v>130076.72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 t="s">
        <v>62</v>
      </c>
      <c r="B164" s="4">
        <v>45717.0</v>
      </c>
      <c r="C164" s="3" t="s">
        <v>24</v>
      </c>
      <c r="D164" s="3" t="s">
        <v>18</v>
      </c>
      <c r="E164" s="3">
        <v>57143.3</v>
      </c>
      <c r="F164" s="3">
        <v>8038.0</v>
      </c>
      <c r="G164" s="3">
        <v>0.193</v>
      </c>
      <c r="H164" s="3">
        <v>17.0</v>
      </c>
      <c r="I164" s="3">
        <v>72.6</v>
      </c>
      <c r="J164" s="3">
        <v>3.365</v>
      </c>
      <c r="K164" s="3">
        <v>0.0</v>
      </c>
      <c r="L164" s="3">
        <v>4.2</v>
      </c>
      <c r="M164" s="3">
        <v>677096.71</v>
      </c>
      <c r="N164" s="3">
        <v>97174.11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 t="s">
        <v>62</v>
      </c>
      <c r="B165" s="4">
        <v>45748.0</v>
      </c>
      <c r="C165" s="3" t="s">
        <v>24</v>
      </c>
      <c r="D165" s="3" t="s">
        <v>18</v>
      </c>
      <c r="E165" s="3">
        <v>66870.62</v>
      </c>
      <c r="F165" s="3">
        <v>6055.0</v>
      </c>
      <c r="G165" s="3">
        <v>0.075</v>
      </c>
      <c r="H165" s="3">
        <v>19.0</v>
      </c>
      <c r="I165" s="3">
        <v>93.8</v>
      </c>
      <c r="J165" s="3">
        <v>0.54</v>
      </c>
      <c r="K165" s="3">
        <v>0.0</v>
      </c>
      <c r="L165" s="3">
        <v>4.3</v>
      </c>
      <c r="M165" s="3">
        <v>692008.64</v>
      </c>
      <c r="N165" s="3">
        <v>116337.87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 t="s">
        <v>63</v>
      </c>
      <c r="B166" s="4">
        <v>45658.0</v>
      </c>
      <c r="C166" s="3" t="s">
        <v>20</v>
      </c>
      <c r="D166" s="3" t="s">
        <v>28</v>
      </c>
      <c r="E166" s="3">
        <v>72150.53</v>
      </c>
      <c r="F166" s="3">
        <v>9323.0</v>
      </c>
      <c r="G166" s="3">
        <v>0.157</v>
      </c>
      <c r="H166" s="3">
        <v>22.0</v>
      </c>
      <c r="I166" s="3">
        <v>82.9</v>
      </c>
      <c r="J166" s="3">
        <v>11.37</v>
      </c>
      <c r="K166" s="3">
        <v>1.0</v>
      </c>
      <c r="L166" s="3">
        <v>4.3</v>
      </c>
      <c r="M166" s="3">
        <v>825797.91</v>
      </c>
      <c r="N166" s="3">
        <v>130945.24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 t="s">
        <v>63</v>
      </c>
      <c r="B167" s="4">
        <v>45689.0</v>
      </c>
      <c r="C167" s="3" t="s">
        <v>20</v>
      </c>
      <c r="D167" s="3" t="s">
        <v>28</v>
      </c>
      <c r="E167" s="3">
        <v>35303.3</v>
      </c>
      <c r="F167" s="3">
        <v>8789.0</v>
      </c>
      <c r="G167" s="3">
        <v>0.123</v>
      </c>
      <c r="H167" s="3">
        <v>22.0</v>
      </c>
      <c r="I167" s="3">
        <v>86.1</v>
      </c>
      <c r="J167" s="3">
        <v>9.43</v>
      </c>
      <c r="K167" s="3">
        <v>0.0</v>
      </c>
      <c r="L167" s="3">
        <v>4.2</v>
      </c>
      <c r="M167" s="3">
        <v>706285.52</v>
      </c>
      <c r="N167" s="3">
        <v>138014.72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 t="s">
        <v>63</v>
      </c>
      <c r="B168" s="4">
        <v>45717.0</v>
      </c>
      <c r="C168" s="3" t="s">
        <v>20</v>
      </c>
      <c r="D168" s="3" t="s">
        <v>28</v>
      </c>
      <c r="E168" s="3">
        <v>30301.86</v>
      </c>
      <c r="F168" s="3">
        <v>6939.0</v>
      </c>
      <c r="G168" s="3">
        <v>0.09</v>
      </c>
      <c r="H168" s="3">
        <v>16.0</v>
      </c>
      <c r="I168" s="3">
        <v>90.3</v>
      </c>
      <c r="J168" s="3">
        <v>3.49</v>
      </c>
      <c r="K168" s="3">
        <v>0.0</v>
      </c>
      <c r="L168" s="3">
        <v>4.0</v>
      </c>
      <c r="M168" s="3">
        <v>665534.7</v>
      </c>
      <c r="N168" s="3">
        <v>113167.73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 t="s">
        <v>63</v>
      </c>
      <c r="B169" s="4">
        <v>45748.0</v>
      </c>
      <c r="C169" s="3" t="s">
        <v>20</v>
      </c>
      <c r="D169" s="3" t="s">
        <v>28</v>
      </c>
      <c r="E169" s="3">
        <v>78432.14</v>
      </c>
      <c r="F169" s="3">
        <v>9440.0</v>
      </c>
      <c r="G169" s="3">
        <v>0.126</v>
      </c>
      <c r="H169" s="3">
        <v>23.0</v>
      </c>
      <c r="I169" s="3">
        <v>89.2</v>
      </c>
      <c r="J169" s="3">
        <v>7.86</v>
      </c>
      <c r="K169" s="3">
        <v>0.0</v>
      </c>
      <c r="L169" s="3">
        <v>4.1</v>
      </c>
      <c r="M169" s="3">
        <v>820729.29</v>
      </c>
      <c r="N169" s="3">
        <v>159325.47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 t="s">
        <v>64</v>
      </c>
      <c r="B170" s="4">
        <v>45658.0</v>
      </c>
      <c r="C170" s="3" t="s">
        <v>15</v>
      </c>
      <c r="D170" s="3" t="s">
        <v>16</v>
      </c>
      <c r="E170" s="3">
        <v>62059.18</v>
      </c>
      <c r="F170" s="3">
        <v>9374.0</v>
      </c>
      <c r="G170" s="3">
        <v>0.136</v>
      </c>
      <c r="H170" s="3">
        <v>25.0</v>
      </c>
      <c r="I170" s="3">
        <v>87.1</v>
      </c>
      <c r="J170" s="3">
        <v>12.55</v>
      </c>
      <c r="K170" s="3">
        <v>0.0</v>
      </c>
      <c r="L170" s="3">
        <v>4.9</v>
      </c>
      <c r="M170" s="3">
        <v>739831.73</v>
      </c>
      <c r="N170" s="3">
        <v>119490.21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 t="s">
        <v>64</v>
      </c>
      <c r="B171" s="4">
        <v>45689.0</v>
      </c>
      <c r="C171" s="3" t="s">
        <v>15</v>
      </c>
      <c r="D171" s="3" t="s">
        <v>16</v>
      </c>
      <c r="E171" s="3">
        <v>32834.48</v>
      </c>
      <c r="F171" s="3">
        <v>7576.0</v>
      </c>
      <c r="G171" s="3">
        <v>0.099</v>
      </c>
      <c r="H171" s="3">
        <v>15.0</v>
      </c>
      <c r="I171" s="3">
        <v>84.1</v>
      </c>
      <c r="J171" s="3">
        <v>3.48</v>
      </c>
      <c r="K171" s="3">
        <v>0.0</v>
      </c>
      <c r="L171" s="3">
        <v>5.0</v>
      </c>
      <c r="M171" s="3">
        <v>593637.14</v>
      </c>
      <c r="N171" s="3">
        <v>106648.14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 t="s">
        <v>64</v>
      </c>
      <c r="B172" s="4">
        <v>45717.0</v>
      </c>
      <c r="C172" s="3" t="s">
        <v>15</v>
      </c>
      <c r="D172" s="3" t="s">
        <v>16</v>
      </c>
      <c r="E172" s="3">
        <v>50825.08</v>
      </c>
      <c r="F172" s="3">
        <v>8949.0</v>
      </c>
      <c r="G172" s="3">
        <v>0.157</v>
      </c>
      <c r="H172" s="3">
        <v>21.0</v>
      </c>
      <c r="I172" s="3">
        <v>84.7</v>
      </c>
      <c r="J172" s="3">
        <v>7.73</v>
      </c>
      <c r="K172" s="3">
        <v>0.0</v>
      </c>
      <c r="L172" s="3">
        <v>4.9</v>
      </c>
      <c r="M172" s="3">
        <v>769702.76</v>
      </c>
      <c r="N172" s="3">
        <v>158697.0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 t="s">
        <v>64</v>
      </c>
      <c r="B173" s="4">
        <v>45748.0</v>
      </c>
      <c r="C173" s="3" t="s">
        <v>15</v>
      </c>
      <c r="D173" s="3" t="s">
        <v>16</v>
      </c>
      <c r="E173" s="3">
        <v>36606.51</v>
      </c>
      <c r="F173" s="3">
        <v>7671.0</v>
      </c>
      <c r="G173" s="3">
        <v>0.118</v>
      </c>
      <c r="H173" s="3">
        <v>18.0</v>
      </c>
      <c r="I173" s="3">
        <v>89.8</v>
      </c>
      <c r="J173" s="3">
        <v>0.25</v>
      </c>
      <c r="K173" s="3">
        <v>0.0</v>
      </c>
      <c r="L173" s="3">
        <v>4.4</v>
      </c>
      <c r="M173" s="3">
        <v>679731.57</v>
      </c>
      <c r="N173" s="3">
        <v>121546.42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 t="s">
        <v>65</v>
      </c>
      <c r="B174" s="4">
        <v>45658.0</v>
      </c>
      <c r="C174" s="3" t="s">
        <v>15</v>
      </c>
      <c r="D174" s="3" t="s">
        <v>16</v>
      </c>
      <c r="E174" s="3">
        <v>65237.79</v>
      </c>
      <c r="F174" s="3">
        <v>8741.0</v>
      </c>
      <c r="G174" s="3">
        <v>0.157</v>
      </c>
      <c r="H174" s="3">
        <v>20.0</v>
      </c>
      <c r="I174" s="3">
        <v>94.4</v>
      </c>
      <c r="J174" s="3">
        <v>6.43</v>
      </c>
      <c r="K174" s="3">
        <v>0.0</v>
      </c>
      <c r="L174" s="3">
        <v>3.3</v>
      </c>
      <c r="M174" s="3">
        <v>780344.18</v>
      </c>
      <c r="N174" s="3">
        <v>118239.09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 t="s">
        <v>65</v>
      </c>
      <c r="B175" s="4">
        <v>45689.0</v>
      </c>
      <c r="C175" s="3" t="s">
        <v>15</v>
      </c>
      <c r="D175" s="3" t="s">
        <v>16</v>
      </c>
      <c r="E175" s="3">
        <v>43645.98</v>
      </c>
      <c r="F175" s="3">
        <v>9480.0</v>
      </c>
      <c r="G175" s="3">
        <v>0.109</v>
      </c>
      <c r="H175" s="3">
        <v>22.0</v>
      </c>
      <c r="I175" s="3">
        <v>89.0</v>
      </c>
      <c r="J175" s="3">
        <v>2.11</v>
      </c>
      <c r="K175" s="3">
        <v>0.0</v>
      </c>
      <c r="L175" s="3">
        <v>3.1</v>
      </c>
      <c r="M175" s="3">
        <v>721364.11</v>
      </c>
      <c r="N175" s="3">
        <v>147272.81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 t="s">
        <v>65</v>
      </c>
      <c r="B176" s="4">
        <v>45717.0</v>
      </c>
      <c r="C176" s="3" t="s">
        <v>15</v>
      </c>
      <c r="D176" s="3" t="s">
        <v>16</v>
      </c>
      <c r="E176" s="3">
        <v>68040.15</v>
      </c>
      <c r="F176" s="3">
        <v>9826.0</v>
      </c>
      <c r="G176" s="3">
        <v>0.125</v>
      </c>
      <c r="H176" s="3">
        <v>20.0</v>
      </c>
      <c r="I176" s="3">
        <v>83.9</v>
      </c>
      <c r="J176" s="3">
        <v>9.12</v>
      </c>
      <c r="K176" s="3">
        <v>0.0</v>
      </c>
      <c r="L176" s="3">
        <v>3.6</v>
      </c>
      <c r="M176" s="3">
        <v>758138.29</v>
      </c>
      <c r="N176" s="3">
        <v>132975.26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 t="s">
        <v>65</v>
      </c>
      <c r="B177" s="4">
        <v>45748.0</v>
      </c>
      <c r="C177" s="3" t="s">
        <v>15</v>
      </c>
      <c r="D177" s="3" t="s">
        <v>16</v>
      </c>
      <c r="E177" s="3">
        <v>63043.94</v>
      </c>
      <c r="F177" s="3">
        <v>10402.0</v>
      </c>
      <c r="G177" s="3">
        <v>0.159</v>
      </c>
      <c r="H177" s="3">
        <v>23.0</v>
      </c>
      <c r="I177" s="3">
        <v>93.9</v>
      </c>
      <c r="J177" s="3">
        <v>2.71</v>
      </c>
      <c r="K177" s="3">
        <v>0.0</v>
      </c>
      <c r="L177" s="3">
        <v>3.1</v>
      </c>
      <c r="M177" s="3">
        <v>804264.0</v>
      </c>
      <c r="N177" s="3">
        <v>167117.91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 t="s">
        <v>66</v>
      </c>
      <c r="B178" s="4">
        <v>45658.0</v>
      </c>
      <c r="C178" s="3" t="s">
        <v>27</v>
      </c>
      <c r="D178" s="3" t="s">
        <v>21</v>
      </c>
      <c r="E178" s="3">
        <v>67494.09</v>
      </c>
      <c r="F178" s="3">
        <v>12361.0</v>
      </c>
      <c r="G178" s="3">
        <v>0.046</v>
      </c>
      <c r="H178" s="3">
        <v>24.0</v>
      </c>
      <c r="I178" s="3">
        <v>76.6</v>
      </c>
      <c r="J178" s="3">
        <v>3.65</v>
      </c>
      <c r="K178" s="3">
        <v>1.0</v>
      </c>
      <c r="L178" s="3">
        <v>3.7</v>
      </c>
      <c r="M178" s="3">
        <v>887537.75</v>
      </c>
      <c r="N178" s="3">
        <v>160362.92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 t="s">
        <v>66</v>
      </c>
      <c r="B179" s="4">
        <v>45689.0</v>
      </c>
      <c r="C179" s="3" t="s">
        <v>27</v>
      </c>
      <c r="D179" s="3" t="s">
        <v>21</v>
      </c>
      <c r="E179" s="3">
        <v>29389.32</v>
      </c>
      <c r="F179" s="3">
        <v>7925.0</v>
      </c>
      <c r="G179" s="3">
        <v>0.177</v>
      </c>
      <c r="H179" s="3">
        <v>21.0</v>
      </c>
      <c r="I179" s="3">
        <v>90.9</v>
      </c>
      <c r="J179" s="3">
        <v>7.86</v>
      </c>
      <c r="K179" s="3">
        <v>0.0</v>
      </c>
      <c r="L179" s="3">
        <v>4.0</v>
      </c>
      <c r="M179" s="3">
        <v>783582.0</v>
      </c>
      <c r="N179" s="3">
        <v>130670.93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 t="s">
        <v>66</v>
      </c>
      <c r="B180" s="4">
        <v>45717.0</v>
      </c>
      <c r="C180" s="3" t="s">
        <v>27</v>
      </c>
      <c r="D180" s="3" t="s">
        <v>21</v>
      </c>
      <c r="E180" s="3">
        <v>40535.09</v>
      </c>
      <c r="F180" s="3">
        <v>8870.0</v>
      </c>
      <c r="G180" s="3">
        <v>0.041</v>
      </c>
      <c r="H180" s="3">
        <v>21.0</v>
      </c>
      <c r="I180" s="3">
        <v>86.6</v>
      </c>
      <c r="J180" s="3">
        <v>0.3</v>
      </c>
      <c r="K180" s="3">
        <v>0.0</v>
      </c>
      <c r="L180" s="3">
        <v>4.1</v>
      </c>
      <c r="M180" s="3">
        <v>781955.52</v>
      </c>
      <c r="N180" s="3">
        <v>152578.71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 t="s">
        <v>66</v>
      </c>
      <c r="B181" s="4">
        <v>45748.0</v>
      </c>
      <c r="C181" s="3" t="s">
        <v>27</v>
      </c>
      <c r="D181" s="3" t="s">
        <v>21</v>
      </c>
      <c r="E181" s="3">
        <v>74881.56</v>
      </c>
      <c r="F181" s="3">
        <v>9999.0</v>
      </c>
      <c r="G181" s="3">
        <v>0.013</v>
      </c>
      <c r="H181" s="3">
        <v>20.0</v>
      </c>
      <c r="I181" s="3">
        <v>89.6</v>
      </c>
      <c r="J181" s="3">
        <v>8.44</v>
      </c>
      <c r="K181" s="3">
        <v>0.0</v>
      </c>
      <c r="L181" s="3">
        <v>4.1</v>
      </c>
      <c r="M181" s="3">
        <v>898031.04</v>
      </c>
      <c r="N181" s="3">
        <v>138666.5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 t="s">
        <v>67</v>
      </c>
      <c r="B182" s="4">
        <v>45658.0</v>
      </c>
      <c r="C182" s="3" t="s">
        <v>27</v>
      </c>
      <c r="D182" s="3" t="s">
        <v>16</v>
      </c>
      <c r="E182" s="3">
        <v>68491.11</v>
      </c>
      <c r="F182" s="3">
        <v>11154.0</v>
      </c>
      <c r="G182" s="3">
        <v>0.001</v>
      </c>
      <c r="H182" s="3">
        <v>24.0</v>
      </c>
      <c r="I182" s="3">
        <v>89.4</v>
      </c>
      <c r="J182" s="3">
        <v>5.27</v>
      </c>
      <c r="K182" s="3">
        <v>1.0</v>
      </c>
      <c r="L182" s="3">
        <v>3.9</v>
      </c>
      <c r="M182" s="3">
        <v>855341.28</v>
      </c>
      <c r="N182" s="3">
        <v>175823.8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 t="s">
        <v>67</v>
      </c>
      <c r="B183" s="4">
        <v>45689.0</v>
      </c>
      <c r="C183" s="3" t="s">
        <v>27</v>
      </c>
      <c r="D183" s="3" t="s">
        <v>16</v>
      </c>
      <c r="E183" s="3">
        <v>45209.25</v>
      </c>
      <c r="F183" s="3">
        <v>9287.0</v>
      </c>
      <c r="G183" s="3">
        <v>0.141</v>
      </c>
      <c r="H183" s="3">
        <v>22.0</v>
      </c>
      <c r="I183" s="3">
        <v>86.4</v>
      </c>
      <c r="J183" s="3">
        <v>13.22</v>
      </c>
      <c r="K183" s="3">
        <v>0.0</v>
      </c>
      <c r="L183" s="3">
        <v>3.6</v>
      </c>
      <c r="M183" s="3">
        <v>751393.88</v>
      </c>
      <c r="N183" s="3">
        <v>91480.32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 t="s">
        <v>67</v>
      </c>
      <c r="B184" s="4">
        <v>45717.0</v>
      </c>
      <c r="C184" s="3" t="s">
        <v>27</v>
      </c>
      <c r="D184" s="3" t="s">
        <v>16</v>
      </c>
      <c r="E184" s="3">
        <v>63010.23</v>
      </c>
      <c r="F184" s="3">
        <v>9812.0</v>
      </c>
      <c r="G184" s="3">
        <v>0.113</v>
      </c>
      <c r="H184" s="3">
        <v>24.0</v>
      </c>
      <c r="I184" s="3">
        <v>76.8</v>
      </c>
      <c r="J184" s="3">
        <v>1.02</v>
      </c>
      <c r="K184" s="3">
        <v>1.0</v>
      </c>
      <c r="L184" s="3">
        <v>3.8</v>
      </c>
      <c r="M184" s="3">
        <v>761077.08</v>
      </c>
      <c r="N184" s="3">
        <v>113605.93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 t="s">
        <v>67</v>
      </c>
      <c r="B185" s="4">
        <v>45748.0</v>
      </c>
      <c r="C185" s="3" t="s">
        <v>27</v>
      </c>
      <c r="D185" s="3" t="s">
        <v>16</v>
      </c>
      <c r="E185" s="3">
        <v>57948.88</v>
      </c>
      <c r="F185" s="3">
        <v>10741.0</v>
      </c>
      <c r="G185" s="3">
        <v>0.07</v>
      </c>
      <c r="H185" s="3">
        <v>25.0</v>
      </c>
      <c r="I185" s="3">
        <v>90.1</v>
      </c>
      <c r="J185" s="3">
        <v>4.03</v>
      </c>
      <c r="K185" s="3">
        <v>0.0</v>
      </c>
      <c r="L185" s="3">
        <v>3.1</v>
      </c>
      <c r="M185" s="3">
        <v>819660.59</v>
      </c>
      <c r="N185" s="3">
        <v>172699.95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 t="s">
        <v>68</v>
      </c>
      <c r="B186" s="4">
        <v>45658.0</v>
      </c>
      <c r="C186" s="3" t="s">
        <v>20</v>
      </c>
      <c r="D186" s="3" t="s">
        <v>18</v>
      </c>
      <c r="E186" s="3">
        <v>71941.62</v>
      </c>
      <c r="F186" s="3">
        <v>6084.0</v>
      </c>
      <c r="G186" s="3">
        <v>0.072</v>
      </c>
      <c r="H186" s="3">
        <v>13.0</v>
      </c>
      <c r="I186" s="3">
        <v>93.7</v>
      </c>
      <c r="J186" s="3">
        <v>2.34</v>
      </c>
      <c r="K186" s="3">
        <v>0.0</v>
      </c>
      <c r="L186" s="3">
        <v>4.4</v>
      </c>
      <c r="M186" s="3">
        <v>681855.56</v>
      </c>
      <c r="N186" s="3">
        <v>117645.61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 t="s">
        <v>68</v>
      </c>
      <c r="B187" s="4">
        <v>45689.0</v>
      </c>
      <c r="C187" s="3" t="s">
        <v>20</v>
      </c>
      <c r="D187" s="3" t="s">
        <v>18</v>
      </c>
      <c r="E187" s="3">
        <v>57147.88</v>
      </c>
      <c r="F187" s="3">
        <v>5252.0</v>
      </c>
      <c r="G187" s="3">
        <v>0.161</v>
      </c>
      <c r="H187" s="3">
        <v>15.0</v>
      </c>
      <c r="I187" s="3">
        <v>95.5</v>
      </c>
      <c r="J187" s="3">
        <v>8.51</v>
      </c>
      <c r="K187" s="3">
        <v>0.0</v>
      </c>
      <c r="L187" s="3">
        <v>4.4</v>
      </c>
      <c r="M187" s="3">
        <v>678311.17</v>
      </c>
      <c r="N187" s="3">
        <v>132029.76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 t="s">
        <v>68</v>
      </c>
      <c r="B188" s="4">
        <v>45717.0</v>
      </c>
      <c r="C188" s="3" t="s">
        <v>20</v>
      </c>
      <c r="D188" s="3" t="s">
        <v>18</v>
      </c>
      <c r="E188" s="3">
        <v>48031.74</v>
      </c>
      <c r="F188" s="3">
        <v>6516.0</v>
      </c>
      <c r="G188" s="3">
        <v>0.067</v>
      </c>
      <c r="H188" s="3">
        <v>14.0</v>
      </c>
      <c r="I188" s="3">
        <v>99.0</v>
      </c>
      <c r="J188" s="3">
        <v>0.48</v>
      </c>
      <c r="K188" s="3">
        <v>1.0</v>
      </c>
      <c r="L188" s="3">
        <v>4.3</v>
      </c>
      <c r="M188" s="3">
        <v>765906.95</v>
      </c>
      <c r="N188" s="3">
        <v>114005.9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 t="s">
        <v>68</v>
      </c>
      <c r="B189" s="4">
        <v>45748.0</v>
      </c>
      <c r="C189" s="3" t="s">
        <v>20</v>
      </c>
      <c r="D189" s="3" t="s">
        <v>18</v>
      </c>
      <c r="E189" s="3">
        <v>72784.8</v>
      </c>
      <c r="F189" s="3">
        <v>7932.0</v>
      </c>
      <c r="G189" s="3">
        <v>0.094</v>
      </c>
      <c r="H189" s="3">
        <v>20.0</v>
      </c>
      <c r="I189" s="3">
        <v>74.9</v>
      </c>
      <c r="J189" s="3">
        <v>13.62</v>
      </c>
      <c r="K189" s="3">
        <v>0.0</v>
      </c>
      <c r="L189" s="3">
        <v>4.2</v>
      </c>
      <c r="M189" s="3">
        <v>712546.38</v>
      </c>
      <c r="N189" s="3">
        <v>101480.04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 t="s">
        <v>69</v>
      </c>
      <c r="B190" s="4">
        <v>45658.0</v>
      </c>
      <c r="C190" s="3" t="s">
        <v>15</v>
      </c>
      <c r="D190" s="3" t="s">
        <v>18</v>
      </c>
      <c r="E190" s="3">
        <v>71641.9</v>
      </c>
      <c r="F190" s="3">
        <v>3506.0</v>
      </c>
      <c r="G190" s="3">
        <v>0.0</v>
      </c>
      <c r="H190" s="3">
        <v>11.0</v>
      </c>
      <c r="I190" s="3">
        <v>86.4</v>
      </c>
      <c r="J190" s="3">
        <v>7.77</v>
      </c>
      <c r="K190" s="3">
        <v>0.0</v>
      </c>
      <c r="L190" s="3">
        <v>4.1</v>
      </c>
      <c r="M190" s="3">
        <v>625993.83</v>
      </c>
      <c r="N190" s="3">
        <v>98960.32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 t="s">
        <v>69</v>
      </c>
      <c r="B191" s="4">
        <v>45689.0</v>
      </c>
      <c r="C191" s="3" t="s">
        <v>15</v>
      </c>
      <c r="D191" s="3" t="s">
        <v>18</v>
      </c>
      <c r="E191" s="3">
        <v>55788.61</v>
      </c>
      <c r="F191" s="3">
        <v>2312.0</v>
      </c>
      <c r="G191" s="3">
        <v>0.058</v>
      </c>
      <c r="H191" s="3">
        <v>10.0</v>
      </c>
      <c r="I191" s="3">
        <v>91.3</v>
      </c>
      <c r="J191" s="3">
        <v>1.99</v>
      </c>
      <c r="K191" s="3">
        <v>0.0</v>
      </c>
      <c r="L191" s="3">
        <v>3.8</v>
      </c>
      <c r="M191" s="3">
        <v>550962.93</v>
      </c>
      <c r="N191" s="3">
        <v>97144.58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 t="s">
        <v>69</v>
      </c>
      <c r="B192" s="4">
        <v>45717.0</v>
      </c>
      <c r="C192" s="3" t="s">
        <v>15</v>
      </c>
      <c r="D192" s="3" t="s">
        <v>18</v>
      </c>
      <c r="E192" s="3">
        <v>37705.88</v>
      </c>
      <c r="F192" s="3">
        <v>1268.0</v>
      </c>
      <c r="G192" s="3">
        <v>0.259</v>
      </c>
      <c r="H192" s="3">
        <v>9.0</v>
      </c>
      <c r="I192" s="3">
        <v>84.1</v>
      </c>
      <c r="J192" s="3">
        <v>4.77</v>
      </c>
      <c r="K192" s="3">
        <v>0.0</v>
      </c>
      <c r="L192" s="3">
        <v>3.8</v>
      </c>
      <c r="M192" s="3">
        <v>443275.59</v>
      </c>
      <c r="N192" s="3">
        <v>53544.36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 t="s">
        <v>69</v>
      </c>
      <c r="B193" s="4">
        <v>45748.0</v>
      </c>
      <c r="C193" s="3" t="s">
        <v>15</v>
      </c>
      <c r="D193" s="3" t="s">
        <v>18</v>
      </c>
      <c r="E193" s="3">
        <v>54966.18</v>
      </c>
      <c r="F193" s="3">
        <v>4423.0</v>
      </c>
      <c r="G193" s="3">
        <v>0.186</v>
      </c>
      <c r="H193" s="3">
        <v>13.0</v>
      </c>
      <c r="I193" s="3">
        <v>88.7</v>
      </c>
      <c r="J193" s="3">
        <v>0.2</v>
      </c>
      <c r="K193" s="3">
        <v>0.0</v>
      </c>
      <c r="L193" s="3">
        <v>4.4</v>
      </c>
      <c r="M193" s="3">
        <v>554012.07</v>
      </c>
      <c r="N193" s="3">
        <v>81101.62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 t="s">
        <v>70</v>
      </c>
      <c r="B194" s="4">
        <v>45658.0</v>
      </c>
      <c r="C194" s="3" t="s">
        <v>27</v>
      </c>
      <c r="D194" s="3" t="s">
        <v>16</v>
      </c>
      <c r="E194" s="3">
        <v>81796.74</v>
      </c>
      <c r="F194" s="3">
        <v>6177.0</v>
      </c>
      <c r="G194" s="3">
        <v>0.164</v>
      </c>
      <c r="H194" s="3">
        <v>14.0</v>
      </c>
      <c r="I194" s="3">
        <v>87.9</v>
      </c>
      <c r="J194" s="3">
        <v>0.53</v>
      </c>
      <c r="K194" s="3">
        <v>0.0</v>
      </c>
      <c r="L194" s="3">
        <v>3.2</v>
      </c>
      <c r="M194" s="3">
        <v>643428.85</v>
      </c>
      <c r="N194" s="3">
        <v>94477.63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 t="s">
        <v>70</v>
      </c>
      <c r="B195" s="4">
        <v>45689.0</v>
      </c>
      <c r="C195" s="3" t="s">
        <v>27</v>
      </c>
      <c r="D195" s="3" t="s">
        <v>16</v>
      </c>
      <c r="E195" s="3">
        <v>51133.43</v>
      </c>
      <c r="F195" s="3">
        <v>5150.0</v>
      </c>
      <c r="G195" s="3">
        <v>0.15</v>
      </c>
      <c r="H195" s="3">
        <v>12.0</v>
      </c>
      <c r="I195" s="3">
        <v>88.5</v>
      </c>
      <c r="J195" s="3">
        <v>1.54</v>
      </c>
      <c r="K195" s="3">
        <v>0.0</v>
      </c>
      <c r="L195" s="3">
        <v>3.2</v>
      </c>
      <c r="M195" s="3">
        <v>611924.27</v>
      </c>
      <c r="N195" s="3">
        <v>115488.75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 t="s">
        <v>70</v>
      </c>
      <c r="B196" s="4">
        <v>45717.0</v>
      </c>
      <c r="C196" s="3" t="s">
        <v>27</v>
      </c>
      <c r="D196" s="3" t="s">
        <v>16</v>
      </c>
      <c r="E196" s="3">
        <v>40220.18</v>
      </c>
      <c r="F196" s="3">
        <v>3783.0</v>
      </c>
      <c r="G196" s="3">
        <v>0.089</v>
      </c>
      <c r="H196" s="3">
        <v>14.0</v>
      </c>
      <c r="I196" s="3">
        <v>86.6</v>
      </c>
      <c r="J196" s="3">
        <v>3.63</v>
      </c>
      <c r="K196" s="3">
        <v>0.0</v>
      </c>
      <c r="L196" s="3">
        <v>3.7</v>
      </c>
      <c r="M196" s="3">
        <v>559422.02</v>
      </c>
      <c r="N196" s="3">
        <v>73528.74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 t="s">
        <v>70</v>
      </c>
      <c r="B197" s="4">
        <v>45748.0</v>
      </c>
      <c r="C197" s="3" t="s">
        <v>27</v>
      </c>
      <c r="D197" s="3" t="s">
        <v>16</v>
      </c>
      <c r="E197" s="3">
        <v>41657.64</v>
      </c>
      <c r="F197" s="3">
        <v>3135.0</v>
      </c>
      <c r="G197" s="3">
        <v>0.229</v>
      </c>
      <c r="H197" s="3">
        <v>7.0</v>
      </c>
      <c r="I197" s="3">
        <v>85.4</v>
      </c>
      <c r="J197" s="3">
        <v>13.48</v>
      </c>
      <c r="K197" s="3">
        <v>0.0</v>
      </c>
      <c r="L197" s="3">
        <v>3.9</v>
      </c>
      <c r="M197" s="3">
        <v>449465.06</v>
      </c>
      <c r="N197" s="3">
        <v>65694.78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 t="s">
        <v>71</v>
      </c>
      <c r="B198" s="4">
        <v>45658.0</v>
      </c>
      <c r="C198" s="3" t="s">
        <v>20</v>
      </c>
      <c r="D198" s="3" t="s">
        <v>16</v>
      </c>
      <c r="E198" s="3">
        <v>71851.45</v>
      </c>
      <c r="F198" s="3">
        <v>4970.0</v>
      </c>
      <c r="G198" s="3">
        <v>0.098</v>
      </c>
      <c r="H198" s="3">
        <v>11.0</v>
      </c>
      <c r="I198" s="3">
        <v>89.6</v>
      </c>
      <c r="J198" s="3">
        <v>0.2</v>
      </c>
      <c r="K198" s="3">
        <v>0.0</v>
      </c>
      <c r="L198" s="3">
        <v>4.2</v>
      </c>
      <c r="M198" s="3">
        <v>691447.43</v>
      </c>
      <c r="N198" s="3">
        <v>114077.69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 t="s">
        <v>71</v>
      </c>
      <c r="B199" s="4">
        <v>45689.0</v>
      </c>
      <c r="C199" s="3" t="s">
        <v>20</v>
      </c>
      <c r="D199" s="3" t="s">
        <v>16</v>
      </c>
      <c r="E199" s="3">
        <v>54002.83</v>
      </c>
      <c r="F199" s="3">
        <v>4366.0</v>
      </c>
      <c r="G199" s="3">
        <v>0.027</v>
      </c>
      <c r="H199" s="3">
        <v>15.0</v>
      </c>
      <c r="I199" s="3">
        <v>90.6</v>
      </c>
      <c r="J199" s="3">
        <v>12.82</v>
      </c>
      <c r="K199" s="3">
        <v>0.0</v>
      </c>
      <c r="L199" s="3">
        <v>4.6</v>
      </c>
      <c r="M199" s="3">
        <v>574066.61</v>
      </c>
      <c r="N199" s="3">
        <v>124674.67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 t="s">
        <v>71</v>
      </c>
      <c r="B200" s="4">
        <v>45717.0</v>
      </c>
      <c r="C200" s="3" t="s">
        <v>20</v>
      </c>
      <c r="D200" s="3" t="s">
        <v>16</v>
      </c>
      <c r="E200" s="3">
        <v>54479.33</v>
      </c>
      <c r="F200" s="3">
        <v>5012.0</v>
      </c>
      <c r="G200" s="3">
        <v>0.284</v>
      </c>
      <c r="H200" s="3">
        <v>13.0</v>
      </c>
      <c r="I200" s="3">
        <v>86.0</v>
      </c>
      <c r="J200" s="3">
        <v>2.24</v>
      </c>
      <c r="K200" s="3">
        <v>1.0</v>
      </c>
      <c r="L200" s="3">
        <v>4.3</v>
      </c>
      <c r="M200" s="3">
        <v>578949.84</v>
      </c>
      <c r="N200" s="3">
        <v>80253.65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 t="s">
        <v>71</v>
      </c>
      <c r="B201" s="4">
        <v>45748.0</v>
      </c>
      <c r="C201" s="3" t="s">
        <v>20</v>
      </c>
      <c r="D201" s="3" t="s">
        <v>16</v>
      </c>
      <c r="E201" s="3">
        <v>61391.8</v>
      </c>
      <c r="F201" s="3">
        <v>5575.0</v>
      </c>
      <c r="G201" s="3">
        <v>0.189</v>
      </c>
      <c r="H201" s="3">
        <v>18.0</v>
      </c>
      <c r="I201" s="3">
        <v>90.0</v>
      </c>
      <c r="J201" s="3">
        <v>1.8</v>
      </c>
      <c r="K201" s="3">
        <v>0.0</v>
      </c>
      <c r="L201" s="3">
        <v>4.8</v>
      </c>
      <c r="M201" s="3">
        <v>735786.64</v>
      </c>
      <c r="N201" s="3">
        <v>126540.66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 t="s">
        <v>72</v>
      </c>
      <c r="B202" s="4">
        <v>45658.0</v>
      </c>
      <c r="C202" s="3" t="s">
        <v>15</v>
      </c>
      <c r="D202" s="3" t="s">
        <v>21</v>
      </c>
      <c r="E202" s="3">
        <v>22312.93</v>
      </c>
      <c r="F202" s="3">
        <v>5955.0</v>
      </c>
      <c r="G202" s="3">
        <v>0.123</v>
      </c>
      <c r="H202" s="3">
        <v>13.0</v>
      </c>
      <c r="I202" s="3">
        <v>84.2</v>
      </c>
      <c r="J202" s="3">
        <v>0.41</v>
      </c>
      <c r="K202" s="3">
        <v>1.0</v>
      </c>
      <c r="L202" s="3">
        <v>4.6</v>
      </c>
      <c r="M202" s="3">
        <v>598904.9</v>
      </c>
      <c r="N202" s="3">
        <v>72861.0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 t="s">
        <v>72</v>
      </c>
      <c r="B203" s="4">
        <v>45689.0</v>
      </c>
      <c r="C203" s="3" t="s">
        <v>15</v>
      </c>
      <c r="D203" s="3" t="s">
        <v>21</v>
      </c>
      <c r="E203" s="3">
        <v>78111.97</v>
      </c>
      <c r="F203" s="3">
        <v>6389.0</v>
      </c>
      <c r="G203" s="3">
        <v>0.15</v>
      </c>
      <c r="H203" s="3">
        <v>13.0</v>
      </c>
      <c r="I203" s="3">
        <v>83.9</v>
      </c>
      <c r="J203" s="3">
        <v>3.05</v>
      </c>
      <c r="K203" s="3">
        <v>0.0</v>
      </c>
      <c r="L203" s="3">
        <v>4.8</v>
      </c>
      <c r="M203" s="3">
        <v>787715.51</v>
      </c>
      <c r="N203" s="3">
        <v>128969.62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 t="s">
        <v>72</v>
      </c>
      <c r="B204" s="4">
        <v>45717.0</v>
      </c>
      <c r="C204" s="3" t="s">
        <v>15</v>
      </c>
      <c r="D204" s="3" t="s">
        <v>21</v>
      </c>
      <c r="E204" s="3">
        <v>35203.23</v>
      </c>
      <c r="F204" s="3">
        <v>6896.0</v>
      </c>
      <c r="G204" s="3">
        <v>0.032</v>
      </c>
      <c r="H204" s="3">
        <v>14.0</v>
      </c>
      <c r="I204" s="3">
        <v>80.8</v>
      </c>
      <c r="J204" s="3">
        <v>8.44</v>
      </c>
      <c r="K204" s="3">
        <v>1.0</v>
      </c>
      <c r="L204" s="3">
        <v>5.0</v>
      </c>
      <c r="M204" s="3">
        <v>607084.92</v>
      </c>
      <c r="N204" s="3">
        <v>98558.49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 t="s">
        <v>72</v>
      </c>
      <c r="B205" s="4">
        <v>45748.0</v>
      </c>
      <c r="C205" s="3" t="s">
        <v>15</v>
      </c>
      <c r="D205" s="3" t="s">
        <v>21</v>
      </c>
      <c r="E205" s="3">
        <v>64104.28</v>
      </c>
      <c r="F205" s="3">
        <v>6015.0</v>
      </c>
      <c r="G205" s="3">
        <v>0.127</v>
      </c>
      <c r="H205" s="3">
        <v>15.0</v>
      </c>
      <c r="I205" s="3">
        <v>88.7</v>
      </c>
      <c r="J205" s="3">
        <v>0.78</v>
      </c>
      <c r="K205" s="3">
        <v>0.0</v>
      </c>
      <c r="L205" s="3">
        <v>4.0</v>
      </c>
      <c r="M205" s="3">
        <v>650795.49</v>
      </c>
      <c r="N205" s="3">
        <v>103035.89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 t="s">
        <v>73</v>
      </c>
      <c r="B206" s="4">
        <v>45658.0</v>
      </c>
      <c r="C206" s="3" t="s">
        <v>15</v>
      </c>
      <c r="D206" s="3" t="s">
        <v>28</v>
      </c>
      <c r="E206" s="3">
        <v>92090.14</v>
      </c>
      <c r="F206" s="3">
        <v>9476.0</v>
      </c>
      <c r="G206" s="3">
        <v>0.07</v>
      </c>
      <c r="H206" s="3">
        <v>24.0</v>
      </c>
      <c r="I206" s="3">
        <v>94.3</v>
      </c>
      <c r="J206" s="3">
        <v>0.87</v>
      </c>
      <c r="K206" s="3">
        <v>0.0</v>
      </c>
      <c r="L206" s="3">
        <v>3.7</v>
      </c>
      <c r="M206" s="3">
        <v>825060.52</v>
      </c>
      <c r="N206" s="3">
        <v>143613.15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 t="s">
        <v>73</v>
      </c>
      <c r="B207" s="4">
        <v>45689.0</v>
      </c>
      <c r="C207" s="3" t="s">
        <v>15</v>
      </c>
      <c r="D207" s="3" t="s">
        <v>28</v>
      </c>
      <c r="E207" s="3">
        <v>54300.87</v>
      </c>
      <c r="F207" s="3">
        <v>7875.0</v>
      </c>
      <c r="G207" s="3">
        <v>0.107</v>
      </c>
      <c r="H207" s="3">
        <v>19.0</v>
      </c>
      <c r="I207" s="3">
        <v>94.1</v>
      </c>
      <c r="J207" s="3">
        <v>0.95</v>
      </c>
      <c r="K207" s="3">
        <v>0.0</v>
      </c>
      <c r="L207" s="3">
        <v>3.7</v>
      </c>
      <c r="M207" s="3">
        <v>795464.47</v>
      </c>
      <c r="N207" s="3">
        <v>161150.52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 t="s">
        <v>73</v>
      </c>
      <c r="B208" s="4">
        <v>45717.0</v>
      </c>
      <c r="C208" s="3" t="s">
        <v>15</v>
      </c>
      <c r="D208" s="3" t="s">
        <v>28</v>
      </c>
      <c r="E208" s="3">
        <v>37983.35</v>
      </c>
      <c r="F208" s="3">
        <v>9283.0</v>
      </c>
      <c r="G208" s="3">
        <v>0.149</v>
      </c>
      <c r="H208" s="3">
        <v>19.0</v>
      </c>
      <c r="I208" s="3">
        <v>83.2</v>
      </c>
      <c r="J208" s="3">
        <v>3.82</v>
      </c>
      <c r="K208" s="3">
        <v>0.0</v>
      </c>
      <c r="L208" s="3">
        <v>3.7</v>
      </c>
      <c r="M208" s="3">
        <v>671868.59</v>
      </c>
      <c r="N208" s="3">
        <v>71003.28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 t="s">
        <v>73</v>
      </c>
      <c r="B209" s="4">
        <v>45748.0</v>
      </c>
      <c r="C209" s="3" t="s">
        <v>15</v>
      </c>
      <c r="D209" s="3" t="s">
        <v>28</v>
      </c>
      <c r="E209" s="3">
        <v>56413.83</v>
      </c>
      <c r="F209" s="3">
        <v>8303.0</v>
      </c>
      <c r="G209" s="3">
        <v>0.116</v>
      </c>
      <c r="H209" s="3">
        <v>18.0</v>
      </c>
      <c r="I209" s="3">
        <v>93.6</v>
      </c>
      <c r="J209" s="3">
        <v>2.7</v>
      </c>
      <c r="K209" s="3">
        <v>0.0</v>
      </c>
      <c r="L209" s="3">
        <v>3.7</v>
      </c>
      <c r="M209" s="3">
        <v>675917.63</v>
      </c>
      <c r="N209" s="3">
        <v>112564.75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 t="s">
        <v>74</v>
      </c>
      <c r="B210" s="4">
        <v>45658.0</v>
      </c>
      <c r="C210" s="3" t="s">
        <v>15</v>
      </c>
      <c r="D210" s="3" t="s">
        <v>18</v>
      </c>
      <c r="E210" s="3">
        <v>63457.19</v>
      </c>
      <c r="F210" s="3">
        <v>10125.0</v>
      </c>
      <c r="G210" s="3">
        <v>0.097</v>
      </c>
      <c r="H210" s="3">
        <v>24.0</v>
      </c>
      <c r="I210" s="3">
        <v>87.0</v>
      </c>
      <c r="J210" s="3">
        <v>3.84</v>
      </c>
      <c r="K210" s="3">
        <v>1.0</v>
      </c>
      <c r="L210" s="3">
        <v>3.7</v>
      </c>
      <c r="M210" s="3">
        <v>810446.53</v>
      </c>
      <c r="N210" s="3">
        <v>200575.34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 t="s">
        <v>74</v>
      </c>
      <c r="B211" s="4">
        <v>45689.0</v>
      </c>
      <c r="C211" s="3" t="s">
        <v>15</v>
      </c>
      <c r="D211" s="3" t="s">
        <v>18</v>
      </c>
      <c r="E211" s="3">
        <v>62949.7</v>
      </c>
      <c r="F211" s="3">
        <v>9458.0</v>
      </c>
      <c r="G211" s="3">
        <v>0.171</v>
      </c>
      <c r="H211" s="3">
        <v>19.0</v>
      </c>
      <c r="I211" s="3">
        <v>84.9</v>
      </c>
      <c r="J211" s="3">
        <v>5.09</v>
      </c>
      <c r="K211" s="3">
        <v>0.0</v>
      </c>
      <c r="L211" s="3">
        <v>3.3</v>
      </c>
      <c r="M211" s="3">
        <v>691288.19</v>
      </c>
      <c r="N211" s="3">
        <v>159074.14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 t="s">
        <v>74</v>
      </c>
      <c r="B212" s="4">
        <v>45717.0</v>
      </c>
      <c r="C212" s="3" t="s">
        <v>15</v>
      </c>
      <c r="D212" s="3" t="s">
        <v>18</v>
      </c>
      <c r="E212" s="3">
        <v>107970.19</v>
      </c>
      <c r="F212" s="3">
        <v>12870.0</v>
      </c>
      <c r="G212" s="3">
        <v>0.029</v>
      </c>
      <c r="H212" s="3">
        <v>31.0</v>
      </c>
      <c r="I212" s="3">
        <v>91.7</v>
      </c>
      <c r="J212" s="3">
        <v>3.82</v>
      </c>
      <c r="K212" s="3">
        <v>1.0</v>
      </c>
      <c r="L212" s="3">
        <v>3.7</v>
      </c>
      <c r="M212" s="3">
        <v>946833.54</v>
      </c>
      <c r="N212" s="3">
        <v>184540.31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 t="s">
        <v>74</v>
      </c>
      <c r="B213" s="4">
        <v>45748.0</v>
      </c>
      <c r="C213" s="3" t="s">
        <v>15</v>
      </c>
      <c r="D213" s="3" t="s">
        <v>18</v>
      </c>
      <c r="E213" s="3">
        <v>49405.75</v>
      </c>
      <c r="F213" s="3">
        <v>9752.0</v>
      </c>
      <c r="G213" s="3">
        <v>0.093</v>
      </c>
      <c r="H213" s="3">
        <v>21.0</v>
      </c>
      <c r="I213" s="3">
        <v>87.0</v>
      </c>
      <c r="J213" s="3">
        <v>12.28</v>
      </c>
      <c r="K213" s="3">
        <v>0.0</v>
      </c>
      <c r="L213" s="3">
        <v>4.1</v>
      </c>
      <c r="M213" s="3">
        <v>761963.23</v>
      </c>
      <c r="N213" s="3">
        <v>150113.61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 t="s">
        <v>75</v>
      </c>
      <c r="B214" s="4">
        <v>45658.0</v>
      </c>
      <c r="C214" s="3" t="s">
        <v>27</v>
      </c>
      <c r="D214" s="3" t="s">
        <v>16</v>
      </c>
      <c r="E214" s="3">
        <v>50887.46</v>
      </c>
      <c r="F214" s="3">
        <v>9505.0</v>
      </c>
      <c r="G214" s="3">
        <v>0.091</v>
      </c>
      <c r="H214" s="3">
        <v>25.0</v>
      </c>
      <c r="I214" s="3">
        <v>89.7</v>
      </c>
      <c r="J214" s="3">
        <v>2.8</v>
      </c>
      <c r="K214" s="3">
        <v>0.0</v>
      </c>
      <c r="L214" s="3">
        <v>4.3</v>
      </c>
      <c r="M214" s="3">
        <v>812152.6</v>
      </c>
      <c r="N214" s="3">
        <v>138419.43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 t="s">
        <v>75</v>
      </c>
      <c r="B215" s="4">
        <v>45689.0</v>
      </c>
      <c r="C215" s="3" t="s">
        <v>27</v>
      </c>
      <c r="D215" s="3" t="s">
        <v>16</v>
      </c>
      <c r="E215" s="3">
        <v>41819.45</v>
      </c>
      <c r="F215" s="3">
        <v>9412.0</v>
      </c>
      <c r="G215" s="3">
        <v>0.15</v>
      </c>
      <c r="H215" s="3">
        <v>22.0</v>
      </c>
      <c r="I215" s="3">
        <v>91.0</v>
      </c>
      <c r="J215" s="3">
        <v>3.67</v>
      </c>
      <c r="K215" s="3">
        <v>0.0</v>
      </c>
      <c r="L215" s="3">
        <v>4.2</v>
      </c>
      <c r="M215" s="3">
        <v>804975.5</v>
      </c>
      <c r="N215" s="3">
        <v>140054.5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 t="s">
        <v>75</v>
      </c>
      <c r="B216" s="4">
        <v>45717.0</v>
      </c>
      <c r="C216" s="3" t="s">
        <v>27</v>
      </c>
      <c r="D216" s="3" t="s">
        <v>16</v>
      </c>
      <c r="E216" s="3">
        <v>35296.54</v>
      </c>
      <c r="F216" s="3">
        <v>9644.0</v>
      </c>
      <c r="G216" s="3">
        <v>0.0</v>
      </c>
      <c r="H216" s="3">
        <v>22.0</v>
      </c>
      <c r="I216" s="3">
        <v>88.0</v>
      </c>
      <c r="J216" s="3">
        <v>2.81</v>
      </c>
      <c r="K216" s="3">
        <v>0.0</v>
      </c>
      <c r="L216" s="3">
        <v>4.7</v>
      </c>
      <c r="M216" s="3">
        <v>752321.72</v>
      </c>
      <c r="N216" s="3">
        <v>137788.51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 t="s">
        <v>75</v>
      </c>
      <c r="B217" s="4">
        <v>45748.0</v>
      </c>
      <c r="C217" s="3" t="s">
        <v>27</v>
      </c>
      <c r="D217" s="3" t="s">
        <v>16</v>
      </c>
      <c r="E217" s="3">
        <v>47391.09</v>
      </c>
      <c r="F217" s="3">
        <v>11224.0</v>
      </c>
      <c r="G217" s="3">
        <v>0.147</v>
      </c>
      <c r="H217" s="3">
        <v>25.0</v>
      </c>
      <c r="I217" s="3">
        <v>88.4</v>
      </c>
      <c r="J217" s="3">
        <v>2.44</v>
      </c>
      <c r="K217" s="3">
        <v>0.0</v>
      </c>
      <c r="L217" s="3">
        <v>4.9</v>
      </c>
      <c r="M217" s="3">
        <v>836908.24</v>
      </c>
      <c r="N217" s="3">
        <v>141090.26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 t="s">
        <v>76</v>
      </c>
      <c r="B218" s="4">
        <v>45658.0</v>
      </c>
      <c r="C218" s="3" t="s">
        <v>20</v>
      </c>
      <c r="D218" s="3" t="s">
        <v>21</v>
      </c>
      <c r="E218" s="3">
        <v>69180.54</v>
      </c>
      <c r="F218" s="3">
        <v>5394.0</v>
      </c>
      <c r="G218" s="3">
        <v>0.126</v>
      </c>
      <c r="H218" s="3">
        <v>12.0</v>
      </c>
      <c r="I218" s="3">
        <v>82.9</v>
      </c>
      <c r="J218" s="3">
        <v>3.27</v>
      </c>
      <c r="K218" s="3">
        <v>0.0</v>
      </c>
      <c r="L218" s="3">
        <v>3.3</v>
      </c>
      <c r="M218" s="3">
        <v>674289.1</v>
      </c>
      <c r="N218" s="3">
        <v>117773.79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 t="s">
        <v>76</v>
      </c>
      <c r="B219" s="4">
        <v>45689.0</v>
      </c>
      <c r="C219" s="3" t="s">
        <v>20</v>
      </c>
      <c r="D219" s="3" t="s">
        <v>21</v>
      </c>
      <c r="E219" s="3">
        <v>33987.33</v>
      </c>
      <c r="F219" s="3">
        <v>5014.0</v>
      </c>
      <c r="G219" s="3">
        <v>0.246</v>
      </c>
      <c r="H219" s="3">
        <v>17.0</v>
      </c>
      <c r="I219" s="3">
        <v>94.3</v>
      </c>
      <c r="J219" s="3">
        <v>10.34</v>
      </c>
      <c r="K219" s="3">
        <v>0.0</v>
      </c>
      <c r="L219" s="3">
        <v>3.9</v>
      </c>
      <c r="M219" s="3">
        <v>622892.42</v>
      </c>
      <c r="N219" s="3">
        <v>101032.52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 t="s">
        <v>76</v>
      </c>
      <c r="B220" s="4">
        <v>45717.0</v>
      </c>
      <c r="C220" s="3" t="s">
        <v>20</v>
      </c>
      <c r="D220" s="3" t="s">
        <v>21</v>
      </c>
      <c r="E220" s="3">
        <v>58785.33</v>
      </c>
      <c r="F220" s="3">
        <v>4467.0</v>
      </c>
      <c r="G220" s="3">
        <v>0.229</v>
      </c>
      <c r="H220" s="3">
        <v>14.0</v>
      </c>
      <c r="I220" s="3">
        <v>90.7</v>
      </c>
      <c r="J220" s="3">
        <v>1.92</v>
      </c>
      <c r="K220" s="3">
        <v>0.0</v>
      </c>
      <c r="L220" s="3">
        <v>3.7</v>
      </c>
      <c r="M220" s="3">
        <v>673348.56</v>
      </c>
      <c r="N220" s="3">
        <v>69464.59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 t="s">
        <v>76</v>
      </c>
      <c r="B221" s="4">
        <v>45748.0</v>
      </c>
      <c r="C221" s="3" t="s">
        <v>20</v>
      </c>
      <c r="D221" s="3" t="s">
        <v>21</v>
      </c>
      <c r="E221" s="3">
        <v>16451.85</v>
      </c>
      <c r="F221" s="3">
        <v>4678.0</v>
      </c>
      <c r="G221" s="3">
        <v>0.133</v>
      </c>
      <c r="H221" s="3">
        <v>11.0</v>
      </c>
      <c r="I221" s="3">
        <v>95.9</v>
      </c>
      <c r="J221" s="3">
        <v>3.1</v>
      </c>
      <c r="K221" s="3">
        <v>0.0</v>
      </c>
      <c r="L221" s="3">
        <v>3.9</v>
      </c>
      <c r="M221" s="3">
        <v>606278.3</v>
      </c>
      <c r="N221" s="3">
        <v>102213.26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 t="s">
        <v>77</v>
      </c>
      <c r="B222" s="4">
        <v>45658.0</v>
      </c>
      <c r="C222" s="3" t="s">
        <v>15</v>
      </c>
      <c r="D222" s="3" t="s">
        <v>18</v>
      </c>
      <c r="E222" s="3">
        <v>53367.73</v>
      </c>
      <c r="F222" s="3">
        <v>7291.0</v>
      </c>
      <c r="G222" s="3">
        <v>0.146</v>
      </c>
      <c r="H222" s="3">
        <v>18.0</v>
      </c>
      <c r="I222" s="3">
        <v>90.6</v>
      </c>
      <c r="J222" s="3">
        <v>6.34</v>
      </c>
      <c r="K222" s="3">
        <v>1.0</v>
      </c>
      <c r="L222" s="3">
        <v>3.8</v>
      </c>
      <c r="M222" s="3">
        <v>712219.81</v>
      </c>
      <c r="N222" s="3">
        <v>85906.54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 t="s">
        <v>77</v>
      </c>
      <c r="B223" s="4">
        <v>45689.0</v>
      </c>
      <c r="C223" s="3" t="s">
        <v>15</v>
      </c>
      <c r="D223" s="3" t="s">
        <v>18</v>
      </c>
      <c r="E223" s="3">
        <v>27194.64</v>
      </c>
      <c r="F223" s="3">
        <v>7404.0</v>
      </c>
      <c r="G223" s="3">
        <v>0.088</v>
      </c>
      <c r="H223" s="3">
        <v>18.0</v>
      </c>
      <c r="I223" s="3">
        <v>90.2</v>
      </c>
      <c r="J223" s="3">
        <v>1.2</v>
      </c>
      <c r="K223" s="3">
        <v>0.0</v>
      </c>
      <c r="L223" s="3">
        <v>3.4</v>
      </c>
      <c r="M223" s="3">
        <v>672670.54</v>
      </c>
      <c r="N223" s="3">
        <v>132684.18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 t="s">
        <v>77</v>
      </c>
      <c r="B224" s="4">
        <v>45717.0</v>
      </c>
      <c r="C224" s="3" t="s">
        <v>15</v>
      </c>
      <c r="D224" s="3" t="s">
        <v>18</v>
      </c>
      <c r="E224" s="3">
        <v>66962.74</v>
      </c>
      <c r="F224" s="3">
        <v>7880.0</v>
      </c>
      <c r="G224" s="3">
        <v>0.116</v>
      </c>
      <c r="H224" s="3">
        <v>19.0</v>
      </c>
      <c r="I224" s="3">
        <v>90.4</v>
      </c>
      <c r="J224" s="3">
        <v>4.5</v>
      </c>
      <c r="K224" s="3">
        <v>0.0</v>
      </c>
      <c r="L224" s="3">
        <v>3.3</v>
      </c>
      <c r="M224" s="3">
        <v>732667.92</v>
      </c>
      <c r="N224" s="3">
        <v>128654.46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 t="s">
        <v>77</v>
      </c>
      <c r="B225" s="4">
        <v>45748.0</v>
      </c>
      <c r="C225" s="3" t="s">
        <v>15</v>
      </c>
      <c r="D225" s="3" t="s">
        <v>18</v>
      </c>
      <c r="E225" s="3">
        <v>73540.99</v>
      </c>
      <c r="F225" s="3">
        <v>8773.0</v>
      </c>
      <c r="G225" s="3">
        <v>0.035</v>
      </c>
      <c r="H225" s="3">
        <v>21.0</v>
      </c>
      <c r="I225" s="3">
        <v>84.4</v>
      </c>
      <c r="J225" s="3">
        <v>6.68</v>
      </c>
      <c r="K225" s="3">
        <v>0.0</v>
      </c>
      <c r="L225" s="3">
        <v>3.6</v>
      </c>
      <c r="M225" s="3">
        <v>723531.4</v>
      </c>
      <c r="N225" s="3">
        <v>108794.85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 t="s">
        <v>78</v>
      </c>
      <c r="B226" s="4">
        <v>45658.0</v>
      </c>
      <c r="C226" s="3" t="s">
        <v>15</v>
      </c>
      <c r="D226" s="3" t="s">
        <v>28</v>
      </c>
      <c r="E226" s="3">
        <v>68212.29</v>
      </c>
      <c r="F226" s="3">
        <v>4713.0</v>
      </c>
      <c r="G226" s="3">
        <v>0.198</v>
      </c>
      <c r="H226" s="3">
        <v>15.0</v>
      </c>
      <c r="I226" s="3">
        <v>82.6</v>
      </c>
      <c r="J226" s="3">
        <v>4.07</v>
      </c>
      <c r="K226" s="3">
        <v>1.0</v>
      </c>
      <c r="L226" s="3">
        <v>3.0</v>
      </c>
      <c r="M226" s="3">
        <v>641564.6</v>
      </c>
      <c r="N226" s="3">
        <v>90468.96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 t="s">
        <v>78</v>
      </c>
      <c r="B227" s="4">
        <v>45689.0</v>
      </c>
      <c r="C227" s="3" t="s">
        <v>15</v>
      </c>
      <c r="D227" s="3" t="s">
        <v>28</v>
      </c>
      <c r="E227" s="3">
        <v>57225.98</v>
      </c>
      <c r="F227" s="3">
        <v>2842.0</v>
      </c>
      <c r="G227" s="3">
        <v>0.112</v>
      </c>
      <c r="H227" s="3">
        <v>10.0</v>
      </c>
      <c r="I227" s="3">
        <v>79.5</v>
      </c>
      <c r="J227" s="3">
        <v>5.45</v>
      </c>
      <c r="K227" s="3">
        <v>0.0</v>
      </c>
      <c r="L227" s="3">
        <v>3.4</v>
      </c>
      <c r="M227" s="3">
        <v>536545.49</v>
      </c>
      <c r="N227" s="3">
        <v>97917.45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 t="s">
        <v>78</v>
      </c>
      <c r="B228" s="4">
        <v>45717.0</v>
      </c>
      <c r="C228" s="3" t="s">
        <v>15</v>
      </c>
      <c r="D228" s="3" t="s">
        <v>28</v>
      </c>
      <c r="E228" s="3">
        <v>42932.02</v>
      </c>
      <c r="F228" s="3">
        <v>3872.0</v>
      </c>
      <c r="G228" s="3">
        <v>0.171</v>
      </c>
      <c r="H228" s="3">
        <v>12.0</v>
      </c>
      <c r="I228" s="3">
        <v>83.2</v>
      </c>
      <c r="J228" s="3">
        <v>15.58</v>
      </c>
      <c r="K228" s="3">
        <v>0.0</v>
      </c>
      <c r="L228" s="3">
        <v>3.3</v>
      </c>
      <c r="M228" s="3">
        <v>527681.56</v>
      </c>
      <c r="N228" s="3">
        <v>63153.05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 t="s">
        <v>78</v>
      </c>
      <c r="B229" s="4">
        <v>45748.0</v>
      </c>
      <c r="C229" s="3" t="s">
        <v>15</v>
      </c>
      <c r="D229" s="3" t="s">
        <v>28</v>
      </c>
      <c r="E229" s="3">
        <v>39341.45</v>
      </c>
      <c r="F229" s="3">
        <v>1375.0</v>
      </c>
      <c r="G229" s="3">
        <v>0.093</v>
      </c>
      <c r="H229" s="3">
        <v>5.0</v>
      </c>
      <c r="I229" s="3">
        <v>95.0</v>
      </c>
      <c r="J229" s="3">
        <v>5.32</v>
      </c>
      <c r="K229" s="3">
        <v>0.0</v>
      </c>
      <c r="L229" s="3">
        <v>3.9</v>
      </c>
      <c r="M229" s="3">
        <v>529598.94</v>
      </c>
      <c r="N229" s="3">
        <v>84334.33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 t="s">
        <v>79</v>
      </c>
      <c r="B230" s="4">
        <v>45658.0</v>
      </c>
      <c r="C230" s="3" t="s">
        <v>15</v>
      </c>
      <c r="D230" s="3" t="s">
        <v>18</v>
      </c>
      <c r="E230" s="3">
        <v>37324.23</v>
      </c>
      <c r="F230" s="3">
        <v>5957.0</v>
      </c>
      <c r="G230" s="3">
        <v>0.071</v>
      </c>
      <c r="H230" s="3">
        <v>12.0</v>
      </c>
      <c r="I230" s="3">
        <v>85.9</v>
      </c>
      <c r="J230" s="3">
        <v>0.37</v>
      </c>
      <c r="K230" s="3">
        <v>0.0</v>
      </c>
      <c r="L230" s="3">
        <v>3.8</v>
      </c>
      <c r="M230" s="3">
        <v>570963.31</v>
      </c>
      <c r="N230" s="3">
        <v>87342.25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 t="s">
        <v>79</v>
      </c>
      <c r="B231" s="4">
        <v>45689.0</v>
      </c>
      <c r="C231" s="3" t="s">
        <v>15</v>
      </c>
      <c r="D231" s="3" t="s">
        <v>18</v>
      </c>
      <c r="E231" s="3">
        <v>113736.0</v>
      </c>
      <c r="F231" s="3">
        <v>8961.0</v>
      </c>
      <c r="G231" s="3">
        <v>0.202</v>
      </c>
      <c r="H231" s="3">
        <v>24.0</v>
      </c>
      <c r="I231" s="3">
        <v>86.2</v>
      </c>
      <c r="J231" s="3">
        <v>21.63</v>
      </c>
      <c r="K231" s="3">
        <v>0.0</v>
      </c>
      <c r="L231" s="3">
        <v>4.0</v>
      </c>
      <c r="M231" s="3">
        <v>870937.4</v>
      </c>
      <c r="N231" s="3">
        <v>175282.74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 t="s">
        <v>79</v>
      </c>
      <c r="B232" s="4">
        <v>45717.0</v>
      </c>
      <c r="C232" s="3" t="s">
        <v>15</v>
      </c>
      <c r="D232" s="3" t="s">
        <v>18</v>
      </c>
      <c r="E232" s="3">
        <v>33173.95</v>
      </c>
      <c r="F232" s="3">
        <v>6545.0</v>
      </c>
      <c r="G232" s="3">
        <v>0.169</v>
      </c>
      <c r="H232" s="3">
        <v>15.0</v>
      </c>
      <c r="I232" s="3">
        <v>84.4</v>
      </c>
      <c r="J232" s="3">
        <v>2.48</v>
      </c>
      <c r="K232" s="3">
        <v>0.0</v>
      </c>
      <c r="L232" s="3">
        <v>3.9</v>
      </c>
      <c r="M232" s="3">
        <v>596969.27</v>
      </c>
      <c r="N232" s="3">
        <v>105669.51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 t="s">
        <v>79</v>
      </c>
      <c r="B233" s="4">
        <v>45748.0</v>
      </c>
      <c r="C233" s="3" t="s">
        <v>15</v>
      </c>
      <c r="D233" s="3" t="s">
        <v>18</v>
      </c>
      <c r="E233" s="3">
        <v>25818.08</v>
      </c>
      <c r="F233" s="3">
        <v>5457.0</v>
      </c>
      <c r="G233" s="3">
        <v>0.0</v>
      </c>
      <c r="H233" s="3">
        <v>11.0</v>
      </c>
      <c r="I233" s="3">
        <v>95.4</v>
      </c>
      <c r="J233" s="3">
        <v>3.365</v>
      </c>
      <c r="K233" s="3">
        <v>0.0</v>
      </c>
      <c r="L233" s="3">
        <v>3.7</v>
      </c>
      <c r="M233" s="3">
        <v>647512.85</v>
      </c>
      <c r="N233" s="3">
        <v>153835.57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 t="s">
        <v>80</v>
      </c>
      <c r="B234" s="4">
        <v>45658.0</v>
      </c>
      <c r="C234" s="3" t="s">
        <v>27</v>
      </c>
      <c r="D234" s="3" t="s">
        <v>16</v>
      </c>
      <c r="E234" s="3">
        <v>47241.92</v>
      </c>
      <c r="F234" s="3">
        <v>4264.0</v>
      </c>
      <c r="G234" s="3">
        <v>0.069</v>
      </c>
      <c r="H234" s="3">
        <v>13.0</v>
      </c>
      <c r="I234" s="3">
        <v>95.3</v>
      </c>
      <c r="J234" s="3">
        <v>0.85</v>
      </c>
      <c r="K234" s="3">
        <v>0.0</v>
      </c>
      <c r="L234" s="3">
        <v>4.3</v>
      </c>
      <c r="M234" s="3">
        <v>658072.14</v>
      </c>
      <c r="N234" s="3">
        <v>110595.89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 t="s">
        <v>80</v>
      </c>
      <c r="B235" s="4">
        <v>45689.0</v>
      </c>
      <c r="C235" s="3" t="s">
        <v>27</v>
      </c>
      <c r="D235" s="3" t="s">
        <v>16</v>
      </c>
      <c r="E235" s="3">
        <v>61650.79</v>
      </c>
      <c r="F235" s="3">
        <v>5321.0</v>
      </c>
      <c r="G235" s="3">
        <v>0.126</v>
      </c>
      <c r="H235" s="3">
        <v>17.0</v>
      </c>
      <c r="I235" s="3">
        <v>89.2</v>
      </c>
      <c r="J235" s="3">
        <v>2.13</v>
      </c>
      <c r="K235" s="3">
        <v>0.0</v>
      </c>
      <c r="L235" s="3">
        <v>4.0</v>
      </c>
      <c r="M235" s="3">
        <v>723305.11</v>
      </c>
      <c r="N235" s="3">
        <v>128468.7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 t="s">
        <v>80</v>
      </c>
      <c r="B236" s="4">
        <v>45717.0</v>
      </c>
      <c r="C236" s="3" t="s">
        <v>27</v>
      </c>
      <c r="D236" s="3" t="s">
        <v>16</v>
      </c>
      <c r="E236" s="3">
        <v>62582.71</v>
      </c>
      <c r="F236" s="3">
        <v>5479.0</v>
      </c>
      <c r="G236" s="3">
        <v>0.048</v>
      </c>
      <c r="H236" s="3">
        <v>16.0</v>
      </c>
      <c r="I236" s="3">
        <v>81.2</v>
      </c>
      <c r="J236" s="3">
        <v>1.46</v>
      </c>
      <c r="K236" s="3">
        <v>0.0</v>
      </c>
      <c r="L236" s="3">
        <v>4.5</v>
      </c>
      <c r="M236" s="3">
        <v>640666.53</v>
      </c>
      <c r="N236" s="3">
        <v>134919.16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 t="s">
        <v>80</v>
      </c>
      <c r="B237" s="4">
        <v>45748.0</v>
      </c>
      <c r="C237" s="3" t="s">
        <v>27</v>
      </c>
      <c r="D237" s="3" t="s">
        <v>16</v>
      </c>
      <c r="E237" s="3">
        <v>47944.14</v>
      </c>
      <c r="F237" s="3">
        <v>6169.0</v>
      </c>
      <c r="G237" s="3">
        <v>0.119</v>
      </c>
      <c r="H237" s="3">
        <v>17.0</v>
      </c>
      <c r="I237" s="3">
        <v>92.2</v>
      </c>
      <c r="J237" s="3">
        <v>3.02</v>
      </c>
      <c r="K237" s="3">
        <v>0.0</v>
      </c>
      <c r="L237" s="3">
        <v>4.1</v>
      </c>
      <c r="M237" s="3">
        <v>670629.48</v>
      </c>
      <c r="N237" s="3">
        <v>100140.8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 t="s">
        <v>81</v>
      </c>
      <c r="B238" s="4">
        <v>45658.0</v>
      </c>
      <c r="C238" s="3" t="s">
        <v>27</v>
      </c>
      <c r="D238" s="3" t="s">
        <v>28</v>
      </c>
      <c r="E238" s="3">
        <v>46495.4</v>
      </c>
      <c r="F238" s="3">
        <v>9908.0</v>
      </c>
      <c r="G238" s="3">
        <v>0.121</v>
      </c>
      <c r="H238" s="3">
        <v>22.0</v>
      </c>
      <c r="I238" s="3">
        <v>89.4</v>
      </c>
      <c r="J238" s="3">
        <v>3.22</v>
      </c>
      <c r="K238" s="3">
        <v>0.0</v>
      </c>
      <c r="L238" s="3">
        <v>3.7</v>
      </c>
      <c r="M238" s="3">
        <v>721079.35</v>
      </c>
      <c r="N238" s="3">
        <v>115295.05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 t="s">
        <v>81</v>
      </c>
      <c r="B239" s="4">
        <v>45689.0</v>
      </c>
      <c r="C239" s="3" t="s">
        <v>27</v>
      </c>
      <c r="D239" s="3" t="s">
        <v>28</v>
      </c>
      <c r="E239" s="3">
        <v>72961.95</v>
      </c>
      <c r="F239" s="3">
        <v>9996.0</v>
      </c>
      <c r="G239" s="3">
        <v>0.106</v>
      </c>
      <c r="H239" s="3">
        <v>22.0</v>
      </c>
      <c r="I239" s="3">
        <v>89.1</v>
      </c>
      <c r="J239" s="3">
        <v>15.66</v>
      </c>
      <c r="K239" s="3">
        <v>0.0</v>
      </c>
      <c r="L239" s="3">
        <v>3.4</v>
      </c>
      <c r="M239" s="3">
        <v>810355.02</v>
      </c>
      <c r="N239" s="3">
        <v>131510.0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 t="s">
        <v>81</v>
      </c>
      <c r="B240" s="4">
        <v>45717.0</v>
      </c>
      <c r="C240" s="3" t="s">
        <v>27</v>
      </c>
      <c r="D240" s="3" t="s">
        <v>28</v>
      </c>
      <c r="E240" s="3">
        <v>59060.05</v>
      </c>
      <c r="F240" s="3">
        <v>9702.0</v>
      </c>
      <c r="G240" s="3">
        <v>0.201</v>
      </c>
      <c r="H240" s="3">
        <v>23.0</v>
      </c>
      <c r="I240" s="3">
        <v>80.9</v>
      </c>
      <c r="J240" s="3">
        <v>6.96</v>
      </c>
      <c r="K240" s="3">
        <v>0.0</v>
      </c>
      <c r="L240" s="3">
        <v>3.2</v>
      </c>
      <c r="M240" s="3">
        <v>761919.25</v>
      </c>
      <c r="N240" s="3">
        <v>111893.06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 t="s">
        <v>81</v>
      </c>
      <c r="B241" s="4">
        <v>45748.0</v>
      </c>
      <c r="C241" s="3" t="s">
        <v>27</v>
      </c>
      <c r="D241" s="3" t="s">
        <v>28</v>
      </c>
      <c r="E241" s="3">
        <v>26248.1</v>
      </c>
      <c r="F241" s="3">
        <v>9314.0</v>
      </c>
      <c r="G241" s="3">
        <v>0.186</v>
      </c>
      <c r="H241" s="3">
        <v>21.0</v>
      </c>
      <c r="I241" s="3">
        <v>83.7</v>
      </c>
      <c r="J241" s="3">
        <v>4.62</v>
      </c>
      <c r="K241" s="3">
        <v>0.0</v>
      </c>
      <c r="L241" s="3">
        <v>3.3</v>
      </c>
      <c r="M241" s="3">
        <v>737070.18</v>
      </c>
      <c r="N241" s="3">
        <v>117593.97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 t="s">
        <v>82</v>
      </c>
      <c r="B242" s="4">
        <v>45658.0</v>
      </c>
      <c r="C242" s="3" t="s">
        <v>24</v>
      </c>
      <c r="D242" s="3" t="s">
        <v>21</v>
      </c>
      <c r="E242" s="3">
        <v>69900.12</v>
      </c>
      <c r="F242" s="3">
        <v>8055.0</v>
      </c>
      <c r="G242" s="3">
        <v>0.281</v>
      </c>
      <c r="H242" s="3">
        <v>22.0</v>
      </c>
      <c r="I242" s="3">
        <v>85.6</v>
      </c>
      <c r="J242" s="3">
        <v>10.68</v>
      </c>
      <c r="K242" s="3">
        <v>1.0</v>
      </c>
      <c r="L242" s="3">
        <v>2.9</v>
      </c>
      <c r="M242" s="3">
        <v>776992.93</v>
      </c>
      <c r="N242" s="3">
        <v>101598.32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 t="s">
        <v>82</v>
      </c>
      <c r="B243" s="4">
        <v>45689.0</v>
      </c>
      <c r="C243" s="3" t="s">
        <v>24</v>
      </c>
      <c r="D243" s="3" t="s">
        <v>21</v>
      </c>
      <c r="E243" s="3">
        <v>51781.6</v>
      </c>
      <c r="F243" s="3">
        <v>5648.0</v>
      </c>
      <c r="G243" s="3">
        <v>0.059</v>
      </c>
      <c r="H243" s="3">
        <v>13.0</v>
      </c>
      <c r="I243" s="3">
        <v>85.5</v>
      </c>
      <c r="J243" s="3">
        <v>4.04</v>
      </c>
      <c r="K243" s="3">
        <v>0.0</v>
      </c>
      <c r="L243" s="3">
        <v>3.7</v>
      </c>
      <c r="M243" s="3">
        <v>676337.41</v>
      </c>
      <c r="N243" s="3">
        <v>104355.77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 t="s">
        <v>82</v>
      </c>
      <c r="B244" s="4">
        <v>45717.0</v>
      </c>
      <c r="C244" s="3" t="s">
        <v>24</v>
      </c>
      <c r="D244" s="3" t="s">
        <v>21</v>
      </c>
      <c r="E244" s="3">
        <v>70799.64</v>
      </c>
      <c r="F244" s="3">
        <v>10076.0</v>
      </c>
      <c r="G244" s="3">
        <v>0.152</v>
      </c>
      <c r="H244" s="3">
        <v>24.0</v>
      </c>
      <c r="I244" s="3">
        <v>84.8</v>
      </c>
      <c r="J244" s="3">
        <v>1.87</v>
      </c>
      <c r="K244" s="3">
        <v>0.0</v>
      </c>
      <c r="L244" s="3">
        <v>3.5</v>
      </c>
      <c r="M244" s="3">
        <v>828219.67</v>
      </c>
      <c r="N244" s="3">
        <v>179806.87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 t="s">
        <v>82</v>
      </c>
      <c r="B245" s="4">
        <v>45748.0</v>
      </c>
      <c r="C245" s="3" t="s">
        <v>24</v>
      </c>
      <c r="D245" s="3" t="s">
        <v>21</v>
      </c>
      <c r="E245" s="3">
        <v>53546.34</v>
      </c>
      <c r="F245" s="3">
        <v>8004.0</v>
      </c>
      <c r="G245" s="3">
        <v>0.0</v>
      </c>
      <c r="H245" s="3">
        <v>21.0</v>
      </c>
      <c r="I245" s="3">
        <v>95.2</v>
      </c>
      <c r="J245" s="3">
        <v>2.83</v>
      </c>
      <c r="K245" s="3">
        <v>0.0</v>
      </c>
      <c r="L245" s="3">
        <v>3.0</v>
      </c>
      <c r="M245" s="3">
        <v>763159.92</v>
      </c>
      <c r="N245" s="3">
        <v>177104.87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 t="s">
        <v>83</v>
      </c>
      <c r="B246" s="4">
        <v>45658.0</v>
      </c>
      <c r="C246" s="3" t="s">
        <v>15</v>
      </c>
      <c r="D246" s="3" t="s">
        <v>18</v>
      </c>
      <c r="E246" s="3">
        <v>76942.2</v>
      </c>
      <c r="F246" s="3">
        <v>8934.0</v>
      </c>
      <c r="G246" s="3">
        <v>0.084</v>
      </c>
      <c r="H246" s="3">
        <v>20.0</v>
      </c>
      <c r="I246" s="3">
        <v>91.0</v>
      </c>
      <c r="J246" s="3">
        <v>0.95</v>
      </c>
      <c r="K246" s="3">
        <v>0.0</v>
      </c>
      <c r="L246" s="3">
        <v>3.2</v>
      </c>
      <c r="M246" s="3">
        <v>802001.68</v>
      </c>
      <c r="N246" s="3">
        <v>159715.82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 t="s">
        <v>83</v>
      </c>
      <c r="B247" s="4">
        <v>45689.0</v>
      </c>
      <c r="C247" s="3" t="s">
        <v>15</v>
      </c>
      <c r="D247" s="3" t="s">
        <v>18</v>
      </c>
      <c r="E247" s="3">
        <v>48060.78</v>
      </c>
      <c r="F247" s="3">
        <v>8733.0</v>
      </c>
      <c r="G247" s="3">
        <v>0.0</v>
      </c>
      <c r="H247" s="3">
        <v>20.0</v>
      </c>
      <c r="I247" s="3">
        <v>89.9</v>
      </c>
      <c r="J247" s="3">
        <v>0.8</v>
      </c>
      <c r="K247" s="3">
        <v>0.0</v>
      </c>
      <c r="L247" s="3">
        <v>3.4</v>
      </c>
      <c r="M247" s="3">
        <v>750471.34</v>
      </c>
      <c r="N247" s="3">
        <v>133788.04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 t="s">
        <v>83</v>
      </c>
      <c r="B248" s="4">
        <v>45717.0</v>
      </c>
      <c r="C248" s="3" t="s">
        <v>15</v>
      </c>
      <c r="D248" s="3" t="s">
        <v>18</v>
      </c>
      <c r="E248" s="3">
        <v>57390.04</v>
      </c>
      <c r="F248" s="3">
        <v>7374.0</v>
      </c>
      <c r="G248" s="3">
        <v>0.21</v>
      </c>
      <c r="H248" s="3">
        <v>21.0</v>
      </c>
      <c r="I248" s="3">
        <v>91.8</v>
      </c>
      <c r="J248" s="3">
        <v>0.2</v>
      </c>
      <c r="K248" s="3">
        <v>0.0</v>
      </c>
      <c r="L248" s="3">
        <v>3.1</v>
      </c>
      <c r="M248" s="3">
        <v>679230.86</v>
      </c>
      <c r="N248" s="3">
        <v>106927.58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 t="s">
        <v>83</v>
      </c>
      <c r="B249" s="4">
        <v>45748.0</v>
      </c>
      <c r="C249" s="3" t="s">
        <v>15</v>
      </c>
      <c r="D249" s="3" t="s">
        <v>18</v>
      </c>
      <c r="E249" s="3">
        <v>21536.18</v>
      </c>
      <c r="F249" s="3">
        <v>8119.0</v>
      </c>
      <c r="G249" s="3">
        <v>0.227</v>
      </c>
      <c r="H249" s="3">
        <v>20.0</v>
      </c>
      <c r="I249" s="3">
        <v>90.4</v>
      </c>
      <c r="J249" s="3">
        <v>1.7</v>
      </c>
      <c r="K249" s="3">
        <v>0.0</v>
      </c>
      <c r="L249" s="3">
        <v>3.3</v>
      </c>
      <c r="M249" s="3">
        <v>679888.74</v>
      </c>
      <c r="N249" s="3">
        <v>83406.89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 t="s">
        <v>84</v>
      </c>
      <c r="B250" s="4">
        <v>45658.0</v>
      </c>
      <c r="C250" s="3" t="s">
        <v>20</v>
      </c>
      <c r="D250" s="3" t="s">
        <v>18</v>
      </c>
      <c r="E250" s="3">
        <v>40923.67</v>
      </c>
      <c r="F250" s="3">
        <v>3875.0</v>
      </c>
      <c r="G250" s="3">
        <v>0.15</v>
      </c>
      <c r="H250" s="3">
        <v>10.0</v>
      </c>
      <c r="I250" s="3">
        <v>96.1</v>
      </c>
      <c r="J250" s="3">
        <v>3.365</v>
      </c>
      <c r="K250" s="3">
        <v>0.0</v>
      </c>
      <c r="L250" s="3">
        <v>3.8</v>
      </c>
      <c r="M250" s="3">
        <v>606783.67</v>
      </c>
      <c r="N250" s="3">
        <v>74515.87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 t="s">
        <v>84</v>
      </c>
      <c r="B251" s="4">
        <v>45689.0</v>
      </c>
      <c r="C251" s="3" t="s">
        <v>20</v>
      </c>
      <c r="D251" s="3" t="s">
        <v>18</v>
      </c>
      <c r="E251" s="3">
        <v>72932.55</v>
      </c>
      <c r="F251" s="3">
        <v>5765.0</v>
      </c>
      <c r="G251" s="3">
        <v>0.026</v>
      </c>
      <c r="H251" s="3">
        <v>17.0</v>
      </c>
      <c r="I251" s="3">
        <v>81.8</v>
      </c>
      <c r="J251" s="3">
        <v>5.1</v>
      </c>
      <c r="K251" s="3">
        <v>0.0</v>
      </c>
      <c r="L251" s="3">
        <v>3.6</v>
      </c>
      <c r="M251" s="3">
        <v>642751.42</v>
      </c>
      <c r="N251" s="3">
        <v>131942.15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 t="s">
        <v>84</v>
      </c>
      <c r="B252" s="4">
        <v>45717.0</v>
      </c>
      <c r="C252" s="3" t="s">
        <v>20</v>
      </c>
      <c r="D252" s="3" t="s">
        <v>18</v>
      </c>
      <c r="E252" s="3">
        <v>38361.93</v>
      </c>
      <c r="F252" s="3">
        <v>6322.0</v>
      </c>
      <c r="G252" s="3">
        <v>0.273</v>
      </c>
      <c r="H252" s="3">
        <v>15.0</v>
      </c>
      <c r="I252" s="3">
        <v>88.4</v>
      </c>
      <c r="J252" s="3">
        <v>0.83</v>
      </c>
      <c r="K252" s="3">
        <v>0.0</v>
      </c>
      <c r="L252" s="3">
        <v>4.0</v>
      </c>
      <c r="M252" s="3">
        <v>647953.78</v>
      </c>
      <c r="N252" s="3">
        <v>118497.43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 t="s">
        <v>84</v>
      </c>
      <c r="B253" s="4">
        <v>45748.0</v>
      </c>
      <c r="C253" s="3" t="s">
        <v>20</v>
      </c>
      <c r="D253" s="3" t="s">
        <v>18</v>
      </c>
      <c r="E253" s="3">
        <v>97480.94</v>
      </c>
      <c r="F253" s="3">
        <v>6840.0</v>
      </c>
      <c r="G253" s="3">
        <v>0.087</v>
      </c>
      <c r="H253" s="3">
        <v>14.0</v>
      </c>
      <c r="I253" s="3">
        <v>79.2</v>
      </c>
      <c r="J253" s="3">
        <v>1.14</v>
      </c>
      <c r="K253" s="3">
        <v>0.0</v>
      </c>
      <c r="L253" s="3">
        <v>4.0</v>
      </c>
      <c r="M253" s="3">
        <v>729440.45</v>
      </c>
      <c r="N253" s="3">
        <v>87614.29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 t="s">
        <v>85</v>
      </c>
      <c r="B254" s="4">
        <v>45658.0</v>
      </c>
      <c r="C254" s="3" t="s">
        <v>24</v>
      </c>
      <c r="D254" s="3" t="s">
        <v>21</v>
      </c>
      <c r="E254" s="3">
        <v>81801.8</v>
      </c>
      <c r="F254" s="3">
        <v>6782.0</v>
      </c>
      <c r="G254" s="3">
        <v>0.05</v>
      </c>
      <c r="H254" s="3">
        <v>16.0</v>
      </c>
      <c r="I254" s="3">
        <v>99.0</v>
      </c>
      <c r="J254" s="3">
        <v>9.54</v>
      </c>
      <c r="K254" s="3">
        <v>0.0</v>
      </c>
      <c r="L254" s="3">
        <v>3.7</v>
      </c>
      <c r="M254" s="3">
        <v>764949.0</v>
      </c>
      <c r="N254" s="3">
        <v>148322.43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 t="s">
        <v>85</v>
      </c>
      <c r="B255" s="4">
        <v>45689.0</v>
      </c>
      <c r="C255" s="3" t="s">
        <v>24</v>
      </c>
      <c r="D255" s="3" t="s">
        <v>21</v>
      </c>
      <c r="E255" s="3">
        <v>63582.11</v>
      </c>
      <c r="F255" s="3">
        <v>6856.0</v>
      </c>
      <c r="G255" s="3">
        <v>0.074</v>
      </c>
      <c r="H255" s="3">
        <v>17.0</v>
      </c>
      <c r="I255" s="3">
        <v>89.5</v>
      </c>
      <c r="J255" s="3">
        <v>5.48</v>
      </c>
      <c r="K255" s="3">
        <v>0.0</v>
      </c>
      <c r="L255" s="3">
        <v>3.2</v>
      </c>
      <c r="M255" s="3">
        <v>799046.94</v>
      </c>
      <c r="N255" s="3">
        <v>144553.64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 t="s">
        <v>85</v>
      </c>
      <c r="B256" s="4">
        <v>45717.0</v>
      </c>
      <c r="C256" s="3" t="s">
        <v>24</v>
      </c>
      <c r="D256" s="3" t="s">
        <v>21</v>
      </c>
      <c r="E256" s="3">
        <v>75412.74</v>
      </c>
      <c r="F256" s="3">
        <v>5641.0</v>
      </c>
      <c r="G256" s="3">
        <v>0.059</v>
      </c>
      <c r="H256" s="3">
        <v>13.0</v>
      </c>
      <c r="I256" s="3">
        <v>87.9</v>
      </c>
      <c r="J256" s="3">
        <v>0.84</v>
      </c>
      <c r="K256" s="3">
        <v>0.0</v>
      </c>
      <c r="L256" s="3">
        <v>3.6</v>
      </c>
      <c r="M256" s="3">
        <v>720079.54</v>
      </c>
      <c r="N256" s="3">
        <v>119499.47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 t="s">
        <v>85</v>
      </c>
      <c r="B257" s="4">
        <v>45748.0</v>
      </c>
      <c r="C257" s="3" t="s">
        <v>24</v>
      </c>
      <c r="D257" s="3" t="s">
        <v>21</v>
      </c>
      <c r="E257" s="3">
        <v>36290.08</v>
      </c>
      <c r="F257" s="3">
        <v>5787.0</v>
      </c>
      <c r="G257" s="3">
        <v>0.0</v>
      </c>
      <c r="H257" s="3">
        <v>17.0</v>
      </c>
      <c r="I257" s="3">
        <v>88.3</v>
      </c>
      <c r="J257" s="3">
        <v>4.19</v>
      </c>
      <c r="K257" s="3">
        <v>0.0</v>
      </c>
      <c r="L257" s="3">
        <v>4.1</v>
      </c>
      <c r="M257" s="3">
        <v>612390.14</v>
      </c>
      <c r="N257" s="3">
        <v>108985.74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 t="s">
        <v>86</v>
      </c>
      <c r="B258" s="4">
        <v>45658.0</v>
      </c>
      <c r="C258" s="3" t="s">
        <v>24</v>
      </c>
      <c r="D258" s="3" t="s">
        <v>28</v>
      </c>
      <c r="E258" s="3">
        <v>65272.58</v>
      </c>
      <c r="F258" s="3">
        <v>8165.0</v>
      </c>
      <c r="G258" s="3">
        <v>0.051</v>
      </c>
      <c r="H258" s="3">
        <v>19.0</v>
      </c>
      <c r="I258" s="3">
        <v>87.8</v>
      </c>
      <c r="J258" s="3">
        <v>1.26</v>
      </c>
      <c r="K258" s="3">
        <v>1.0</v>
      </c>
      <c r="L258" s="3">
        <v>4.3</v>
      </c>
      <c r="M258" s="3">
        <v>840108.12</v>
      </c>
      <c r="N258" s="3">
        <v>126587.01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 t="s">
        <v>86</v>
      </c>
      <c r="B259" s="4">
        <v>45689.0</v>
      </c>
      <c r="C259" s="3" t="s">
        <v>24</v>
      </c>
      <c r="D259" s="3" t="s">
        <v>28</v>
      </c>
      <c r="E259" s="3">
        <v>28670.43</v>
      </c>
      <c r="F259" s="3">
        <v>7574.0</v>
      </c>
      <c r="G259" s="3">
        <v>0.114</v>
      </c>
      <c r="H259" s="3">
        <v>19.0</v>
      </c>
      <c r="I259" s="3">
        <v>82.7</v>
      </c>
      <c r="J259" s="3">
        <v>2.74</v>
      </c>
      <c r="K259" s="3">
        <v>0.0</v>
      </c>
      <c r="L259" s="3">
        <v>4.6</v>
      </c>
      <c r="M259" s="3">
        <v>697888.09</v>
      </c>
      <c r="N259" s="3">
        <v>116249.87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 t="s">
        <v>86</v>
      </c>
      <c r="B260" s="4">
        <v>45717.0</v>
      </c>
      <c r="C260" s="3" t="s">
        <v>24</v>
      </c>
      <c r="D260" s="3" t="s">
        <v>28</v>
      </c>
      <c r="E260" s="3">
        <v>44189.34</v>
      </c>
      <c r="F260" s="3">
        <v>8634.0</v>
      </c>
      <c r="G260" s="3">
        <v>0.143</v>
      </c>
      <c r="H260" s="3">
        <v>19.0</v>
      </c>
      <c r="I260" s="3">
        <v>87.5</v>
      </c>
      <c r="J260" s="3">
        <v>3.69</v>
      </c>
      <c r="K260" s="3">
        <v>0.0</v>
      </c>
      <c r="L260" s="3">
        <v>4.4</v>
      </c>
      <c r="M260" s="3">
        <v>746115.59</v>
      </c>
      <c r="N260" s="3">
        <v>94662.96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 t="s">
        <v>86</v>
      </c>
      <c r="B261" s="4">
        <v>45748.0</v>
      </c>
      <c r="C261" s="3" t="s">
        <v>24</v>
      </c>
      <c r="D261" s="3" t="s">
        <v>28</v>
      </c>
      <c r="E261" s="3">
        <v>38397.82</v>
      </c>
      <c r="F261" s="3">
        <v>7836.0</v>
      </c>
      <c r="G261" s="3">
        <v>0.007</v>
      </c>
      <c r="H261" s="3">
        <v>21.0</v>
      </c>
      <c r="I261" s="3">
        <v>92.2</v>
      </c>
      <c r="J261" s="3">
        <v>1.82</v>
      </c>
      <c r="K261" s="3">
        <v>0.0</v>
      </c>
      <c r="L261" s="3">
        <v>3.6</v>
      </c>
      <c r="M261" s="3">
        <v>776110.32</v>
      </c>
      <c r="N261" s="3">
        <v>139676.21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 t="s">
        <v>87</v>
      </c>
      <c r="B262" s="4">
        <v>45658.0</v>
      </c>
      <c r="C262" s="3" t="s">
        <v>27</v>
      </c>
      <c r="D262" s="3" t="s">
        <v>18</v>
      </c>
      <c r="E262" s="3">
        <v>14519.37</v>
      </c>
      <c r="F262" s="3">
        <v>3047.0</v>
      </c>
      <c r="G262" s="3">
        <v>0.135</v>
      </c>
      <c r="H262" s="3">
        <v>10.0</v>
      </c>
      <c r="I262" s="3">
        <v>90.3</v>
      </c>
      <c r="J262" s="3">
        <v>6.62</v>
      </c>
      <c r="K262" s="3">
        <v>0.0</v>
      </c>
      <c r="L262" s="3">
        <v>4.2</v>
      </c>
      <c r="M262" s="3">
        <v>528852.62</v>
      </c>
      <c r="N262" s="3">
        <v>68426.21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 t="s">
        <v>87</v>
      </c>
      <c r="B263" s="4">
        <v>45689.0</v>
      </c>
      <c r="C263" s="3" t="s">
        <v>27</v>
      </c>
      <c r="D263" s="3" t="s">
        <v>18</v>
      </c>
      <c r="E263" s="3">
        <v>43288.2</v>
      </c>
      <c r="F263" s="3">
        <v>4783.0</v>
      </c>
      <c r="G263" s="3">
        <v>0.169</v>
      </c>
      <c r="H263" s="3">
        <v>13.0</v>
      </c>
      <c r="I263" s="3">
        <v>87.3</v>
      </c>
      <c r="J263" s="3">
        <v>3.365</v>
      </c>
      <c r="K263" s="3">
        <v>0.0</v>
      </c>
      <c r="L263" s="3">
        <v>4.2</v>
      </c>
      <c r="M263" s="3">
        <v>605751.33</v>
      </c>
      <c r="N263" s="3">
        <v>60685.53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 t="s">
        <v>87</v>
      </c>
      <c r="B264" s="4">
        <v>45717.0</v>
      </c>
      <c r="C264" s="3" t="s">
        <v>27</v>
      </c>
      <c r="D264" s="3" t="s">
        <v>18</v>
      </c>
      <c r="E264" s="3">
        <v>51450.55</v>
      </c>
      <c r="F264" s="3">
        <v>4902.0</v>
      </c>
      <c r="G264" s="3">
        <v>0.086</v>
      </c>
      <c r="H264" s="3">
        <v>11.0</v>
      </c>
      <c r="I264" s="3">
        <v>83.7</v>
      </c>
      <c r="J264" s="3">
        <v>6.92</v>
      </c>
      <c r="K264" s="3">
        <v>1.0</v>
      </c>
      <c r="L264" s="3">
        <v>4.2</v>
      </c>
      <c r="M264" s="3">
        <v>677640.65</v>
      </c>
      <c r="N264" s="3">
        <v>111610.89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 t="s">
        <v>87</v>
      </c>
      <c r="B265" s="4">
        <v>45748.0</v>
      </c>
      <c r="C265" s="3" t="s">
        <v>27</v>
      </c>
      <c r="D265" s="3" t="s">
        <v>18</v>
      </c>
      <c r="E265" s="3">
        <v>58688.26</v>
      </c>
      <c r="F265" s="3">
        <v>4022.0</v>
      </c>
      <c r="G265" s="3">
        <v>0.217</v>
      </c>
      <c r="H265" s="3">
        <v>12.0</v>
      </c>
      <c r="I265" s="3">
        <v>93.8</v>
      </c>
      <c r="J265" s="3">
        <v>11.78</v>
      </c>
      <c r="K265" s="3">
        <v>0.0</v>
      </c>
      <c r="L265" s="3">
        <v>3.7</v>
      </c>
      <c r="M265" s="3">
        <v>636613.23</v>
      </c>
      <c r="N265" s="3">
        <v>78908.35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 t="s">
        <v>88</v>
      </c>
      <c r="B266" s="4">
        <v>45658.0</v>
      </c>
      <c r="C266" s="3" t="s">
        <v>15</v>
      </c>
      <c r="D266" s="3" t="s">
        <v>18</v>
      </c>
      <c r="E266" s="3">
        <v>58981.91</v>
      </c>
      <c r="F266" s="3">
        <v>7324.0</v>
      </c>
      <c r="G266" s="3">
        <v>0.094</v>
      </c>
      <c r="H266" s="3">
        <v>15.0</v>
      </c>
      <c r="I266" s="3">
        <v>95.8</v>
      </c>
      <c r="J266" s="3">
        <v>0.5</v>
      </c>
      <c r="K266" s="3">
        <v>0.0</v>
      </c>
      <c r="L266" s="3">
        <v>3.5</v>
      </c>
      <c r="M266" s="3">
        <v>708985.19</v>
      </c>
      <c r="N266" s="3">
        <v>125368.16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 t="s">
        <v>88</v>
      </c>
      <c r="B267" s="4">
        <v>45689.0</v>
      </c>
      <c r="C267" s="3" t="s">
        <v>15</v>
      </c>
      <c r="D267" s="3" t="s">
        <v>18</v>
      </c>
      <c r="E267" s="3">
        <v>73454.54</v>
      </c>
      <c r="F267" s="3">
        <v>8129.0</v>
      </c>
      <c r="G267" s="3">
        <v>0.211</v>
      </c>
      <c r="H267" s="3">
        <v>20.0</v>
      </c>
      <c r="I267" s="3">
        <v>85.2</v>
      </c>
      <c r="J267" s="3">
        <v>0.88</v>
      </c>
      <c r="K267" s="3">
        <v>0.0</v>
      </c>
      <c r="L267" s="3">
        <v>3.7</v>
      </c>
      <c r="M267" s="3">
        <v>767792.94</v>
      </c>
      <c r="N267" s="3">
        <v>96235.77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 t="s">
        <v>88</v>
      </c>
      <c r="B268" s="4">
        <v>45717.0</v>
      </c>
      <c r="C268" s="3" t="s">
        <v>15</v>
      </c>
      <c r="D268" s="3" t="s">
        <v>18</v>
      </c>
      <c r="E268" s="3">
        <v>56602.39</v>
      </c>
      <c r="F268" s="3">
        <v>7969.0</v>
      </c>
      <c r="G268" s="3">
        <v>0.17</v>
      </c>
      <c r="H268" s="3">
        <v>21.0</v>
      </c>
      <c r="I268" s="3">
        <v>88.3</v>
      </c>
      <c r="J268" s="3">
        <v>2.25</v>
      </c>
      <c r="K268" s="3">
        <v>0.0</v>
      </c>
      <c r="L268" s="3">
        <v>3.7</v>
      </c>
      <c r="M268" s="3">
        <v>745580.51</v>
      </c>
      <c r="N268" s="3">
        <v>116273.68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 t="s">
        <v>88</v>
      </c>
      <c r="B269" s="4">
        <v>45748.0</v>
      </c>
      <c r="C269" s="3" t="s">
        <v>15</v>
      </c>
      <c r="D269" s="3" t="s">
        <v>18</v>
      </c>
      <c r="E269" s="3">
        <v>67722.29</v>
      </c>
      <c r="F269" s="3">
        <v>7240.0</v>
      </c>
      <c r="G269" s="3">
        <v>0.026</v>
      </c>
      <c r="H269" s="3">
        <v>15.0</v>
      </c>
      <c r="I269" s="3">
        <v>92.9</v>
      </c>
      <c r="J269" s="3">
        <v>0.29</v>
      </c>
      <c r="K269" s="3">
        <v>0.0</v>
      </c>
      <c r="L269" s="3">
        <v>3.5</v>
      </c>
      <c r="M269" s="3">
        <v>762328.31</v>
      </c>
      <c r="N269" s="3">
        <v>159158.19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 t="s">
        <v>89</v>
      </c>
      <c r="B270" s="4">
        <v>45658.0</v>
      </c>
      <c r="C270" s="3" t="s">
        <v>15</v>
      </c>
      <c r="D270" s="3" t="s">
        <v>28</v>
      </c>
      <c r="E270" s="3">
        <v>48752.92</v>
      </c>
      <c r="F270" s="3">
        <v>8052.0</v>
      </c>
      <c r="G270" s="3">
        <v>0.106</v>
      </c>
      <c r="H270" s="3">
        <v>16.0</v>
      </c>
      <c r="I270" s="3">
        <v>94.9</v>
      </c>
      <c r="J270" s="3">
        <v>0.65</v>
      </c>
      <c r="K270" s="3">
        <v>0.0</v>
      </c>
      <c r="L270" s="3">
        <v>3.6</v>
      </c>
      <c r="M270" s="3">
        <v>660633.99</v>
      </c>
      <c r="N270" s="3">
        <v>118768.66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 t="s">
        <v>89</v>
      </c>
      <c r="B271" s="4">
        <v>45689.0</v>
      </c>
      <c r="C271" s="3" t="s">
        <v>15</v>
      </c>
      <c r="D271" s="3" t="s">
        <v>28</v>
      </c>
      <c r="E271" s="3">
        <v>23914.97</v>
      </c>
      <c r="F271" s="3">
        <v>8018.0</v>
      </c>
      <c r="G271" s="3">
        <v>0.139</v>
      </c>
      <c r="H271" s="3">
        <v>20.0</v>
      </c>
      <c r="I271" s="3">
        <v>89.0</v>
      </c>
      <c r="J271" s="3">
        <v>0.2</v>
      </c>
      <c r="K271" s="3">
        <v>0.0</v>
      </c>
      <c r="L271" s="3">
        <v>3.5</v>
      </c>
      <c r="M271" s="3">
        <v>739374.56</v>
      </c>
      <c r="N271" s="3">
        <v>121032.29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 t="s">
        <v>89</v>
      </c>
      <c r="B272" s="4">
        <v>45717.0</v>
      </c>
      <c r="C272" s="3" t="s">
        <v>15</v>
      </c>
      <c r="D272" s="3" t="s">
        <v>28</v>
      </c>
      <c r="E272" s="3">
        <v>61995.3</v>
      </c>
      <c r="F272" s="3">
        <v>10192.0</v>
      </c>
      <c r="G272" s="3">
        <v>0.198</v>
      </c>
      <c r="H272" s="3">
        <v>21.0</v>
      </c>
      <c r="I272" s="3">
        <v>87.6</v>
      </c>
      <c r="J272" s="3">
        <v>3.63</v>
      </c>
      <c r="K272" s="3">
        <v>1.0</v>
      </c>
      <c r="L272" s="3">
        <v>3.8</v>
      </c>
      <c r="M272" s="3">
        <v>799756.46</v>
      </c>
      <c r="N272" s="3">
        <v>105052.93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 t="s">
        <v>89</v>
      </c>
      <c r="B273" s="4">
        <v>45748.0</v>
      </c>
      <c r="C273" s="3" t="s">
        <v>15</v>
      </c>
      <c r="D273" s="3" t="s">
        <v>28</v>
      </c>
      <c r="E273" s="3">
        <v>29344.93</v>
      </c>
      <c r="F273" s="3">
        <v>7446.0</v>
      </c>
      <c r="G273" s="3">
        <v>0.111</v>
      </c>
      <c r="H273" s="3">
        <v>15.0</v>
      </c>
      <c r="I273" s="3">
        <v>86.2</v>
      </c>
      <c r="J273" s="3">
        <v>0.2</v>
      </c>
      <c r="K273" s="3">
        <v>0.0</v>
      </c>
      <c r="L273" s="3">
        <v>3.2</v>
      </c>
      <c r="M273" s="3">
        <v>593343.0</v>
      </c>
      <c r="N273" s="3">
        <v>82832.24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 t="s">
        <v>90</v>
      </c>
      <c r="B274" s="4">
        <v>45658.0</v>
      </c>
      <c r="C274" s="3" t="s">
        <v>27</v>
      </c>
      <c r="D274" s="3" t="s">
        <v>18</v>
      </c>
      <c r="E274" s="3">
        <v>50532.17</v>
      </c>
      <c r="F274" s="3">
        <v>5689.0</v>
      </c>
      <c r="G274" s="3">
        <v>0.052</v>
      </c>
      <c r="H274" s="3">
        <v>17.0</v>
      </c>
      <c r="I274" s="3">
        <v>85.6</v>
      </c>
      <c r="J274" s="3">
        <v>6.23</v>
      </c>
      <c r="K274" s="3">
        <v>0.0</v>
      </c>
      <c r="L274" s="3">
        <v>3.3</v>
      </c>
      <c r="M274" s="3">
        <v>645039.97</v>
      </c>
      <c r="N274" s="3">
        <v>83093.33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 t="s">
        <v>90</v>
      </c>
      <c r="B275" s="4">
        <v>45689.0</v>
      </c>
      <c r="C275" s="3" t="s">
        <v>27</v>
      </c>
      <c r="D275" s="3" t="s">
        <v>18</v>
      </c>
      <c r="E275" s="3">
        <v>17562.57</v>
      </c>
      <c r="F275" s="3">
        <v>3326.0</v>
      </c>
      <c r="G275" s="3">
        <v>0.153</v>
      </c>
      <c r="H275" s="3">
        <v>14.0</v>
      </c>
      <c r="I275" s="3">
        <v>88.1</v>
      </c>
      <c r="J275" s="3">
        <v>1.04</v>
      </c>
      <c r="K275" s="3">
        <v>0.0</v>
      </c>
      <c r="L275" s="3">
        <v>3.1</v>
      </c>
      <c r="M275" s="3">
        <v>561597.33</v>
      </c>
      <c r="N275" s="3">
        <v>75072.75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 t="s">
        <v>90</v>
      </c>
      <c r="B276" s="4">
        <v>45717.0</v>
      </c>
      <c r="C276" s="3" t="s">
        <v>27</v>
      </c>
      <c r="D276" s="3" t="s">
        <v>18</v>
      </c>
      <c r="E276" s="3">
        <v>47648.71</v>
      </c>
      <c r="F276" s="3">
        <v>5767.0</v>
      </c>
      <c r="G276" s="3">
        <v>0.141</v>
      </c>
      <c r="H276" s="3">
        <v>17.0</v>
      </c>
      <c r="I276" s="3">
        <v>89.8</v>
      </c>
      <c r="J276" s="3">
        <v>1.76</v>
      </c>
      <c r="K276" s="3">
        <v>0.0</v>
      </c>
      <c r="L276" s="3">
        <v>3.1</v>
      </c>
      <c r="M276" s="3">
        <v>635837.74</v>
      </c>
      <c r="N276" s="3">
        <v>114740.64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 t="s">
        <v>90</v>
      </c>
      <c r="B277" s="4">
        <v>45748.0</v>
      </c>
      <c r="C277" s="3" t="s">
        <v>27</v>
      </c>
      <c r="D277" s="3" t="s">
        <v>18</v>
      </c>
      <c r="E277" s="3">
        <v>38297.58</v>
      </c>
      <c r="F277" s="3">
        <v>5893.0</v>
      </c>
      <c r="G277" s="3">
        <v>0.247</v>
      </c>
      <c r="H277" s="3">
        <v>18.0</v>
      </c>
      <c r="I277" s="3">
        <v>77.6</v>
      </c>
      <c r="J277" s="3">
        <v>2.86</v>
      </c>
      <c r="K277" s="3">
        <v>0.0</v>
      </c>
      <c r="L277" s="3">
        <v>3.0</v>
      </c>
      <c r="M277" s="3">
        <v>686737.87</v>
      </c>
      <c r="N277" s="3">
        <v>83839.67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 t="s">
        <v>91</v>
      </c>
      <c r="B278" s="4">
        <v>45658.0</v>
      </c>
      <c r="C278" s="3" t="s">
        <v>24</v>
      </c>
      <c r="D278" s="3" t="s">
        <v>16</v>
      </c>
      <c r="E278" s="3">
        <v>61784.11</v>
      </c>
      <c r="F278" s="3">
        <v>8564.0</v>
      </c>
      <c r="G278" s="3">
        <v>0.13</v>
      </c>
      <c r="H278" s="3">
        <v>17.0</v>
      </c>
      <c r="I278" s="3">
        <v>87.4</v>
      </c>
      <c r="J278" s="3">
        <v>18.14</v>
      </c>
      <c r="K278" s="3">
        <v>1.0</v>
      </c>
      <c r="L278" s="3">
        <v>3.4</v>
      </c>
      <c r="M278" s="3">
        <v>673076.34</v>
      </c>
      <c r="N278" s="3">
        <v>93899.76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 t="s">
        <v>91</v>
      </c>
      <c r="B279" s="4">
        <v>45689.0</v>
      </c>
      <c r="C279" s="3" t="s">
        <v>24</v>
      </c>
      <c r="D279" s="3" t="s">
        <v>16</v>
      </c>
      <c r="E279" s="3">
        <v>36832.33</v>
      </c>
      <c r="F279" s="3">
        <v>8001.0</v>
      </c>
      <c r="G279" s="3">
        <v>0.0</v>
      </c>
      <c r="H279" s="3">
        <v>19.0</v>
      </c>
      <c r="I279" s="3">
        <v>88.7</v>
      </c>
      <c r="J279" s="3">
        <v>3.39</v>
      </c>
      <c r="K279" s="3">
        <v>0.0</v>
      </c>
      <c r="L279" s="3">
        <v>4.0</v>
      </c>
      <c r="M279" s="3">
        <v>738548.42</v>
      </c>
      <c r="N279" s="3">
        <v>134282.77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 t="s">
        <v>91</v>
      </c>
      <c r="B280" s="4">
        <v>45717.0</v>
      </c>
      <c r="C280" s="3" t="s">
        <v>24</v>
      </c>
      <c r="D280" s="3" t="s">
        <v>16</v>
      </c>
      <c r="E280" s="3">
        <v>48609.41</v>
      </c>
      <c r="F280" s="3">
        <v>9324.0</v>
      </c>
      <c r="G280" s="3">
        <v>0.213</v>
      </c>
      <c r="H280" s="3">
        <v>18.0</v>
      </c>
      <c r="I280" s="3">
        <v>86.5</v>
      </c>
      <c r="J280" s="3">
        <v>1.44</v>
      </c>
      <c r="K280" s="3">
        <v>0.0</v>
      </c>
      <c r="L280" s="3">
        <v>3.9</v>
      </c>
      <c r="M280" s="3">
        <v>756619.77</v>
      </c>
      <c r="N280" s="3">
        <v>112057.69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 t="s">
        <v>91</v>
      </c>
      <c r="B281" s="4">
        <v>45748.0</v>
      </c>
      <c r="C281" s="3" t="s">
        <v>24</v>
      </c>
      <c r="D281" s="3" t="s">
        <v>16</v>
      </c>
      <c r="E281" s="3">
        <v>70284.06</v>
      </c>
      <c r="F281" s="3">
        <v>9109.0</v>
      </c>
      <c r="G281" s="3">
        <v>0.004</v>
      </c>
      <c r="H281" s="3">
        <v>23.0</v>
      </c>
      <c r="I281" s="3">
        <v>87.0</v>
      </c>
      <c r="J281" s="3">
        <v>3.65</v>
      </c>
      <c r="K281" s="3">
        <v>0.0</v>
      </c>
      <c r="L281" s="3">
        <v>3.7</v>
      </c>
      <c r="M281" s="3">
        <v>761122.42</v>
      </c>
      <c r="N281" s="3">
        <v>149802.04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 t="s">
        <v>92</v>
      </c>
      <c r="B282" s="4">
        <v>45658.0</v>
      </c>
      <c r="C282" s="3" t="s">
        <v>24</v>
      </c>
      <c r="D282" s="3" t="s">
        <v>18</v>
      </c>
      <c r="E282" s="3">
        <v>45940.39</v>
      </c>
      <c r="F282" s="3">
        <v>4022.0</v>
      </c>
      <c r="G282" s="3">
        <v>0.069</v>
      </c>
      <c r="H282" s="3">
        <v>10.0</v>
      </c>
      <c r="I282" s="3">
        <v>83.0</v>
      </c>
      <c r="J282" s="3">
        <v>1.23</v>
      </c>
      <c r="K282" s="3">
        <v>1.0</v>
      </c>
      <c r="L282" s="3">
        <v>3.8</v>
      </c>
      <c r="M282" s="3">
        <v>524899.57</v>
      </c>
      <c r="N282" s="3">
        <v>63619.98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 t="s">
        <v>92</v>
      </c>
      <c r="B283" s="4">
        <v>45689.0</v>
      </c>
      <c r="C283" s="3" t="s">
        <v>24</v>
      </c>
      <c r="D283" s="3" t="s">
        <v>18</v>
      </c>
      <c r="E283" s="3">
        <v>34771.26</v>
      </c>
      <c r="F283" s="3">
        <v>4355.0</v>
      </c>
      <c r="G283" s="3">
        <v>0.051</v>
      </c>
      <c r="H283" s="3">
        <v>15.0</v>
      </c>
      <c r="I283" s="3">
        <v>87.9</v>
      </c>
      <c r="J283" s="3">
        <v>3.09</v>
      </c>
      <c r="K283" s="3">
        <v>0.0</v>
      </c>
      <c r="L283" s="3">
        <v>4.0</v>
      </c>
      <c r="M283" s="3">
        <v>555557.77</v>
      </c>
      <c r="N283" s="3">
        <v>86475.51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 t="s">
        <v>92</v>
      </c>
      <c r="B284" s="4">
        <v>45717.0</v>
      </c>
      <c r="C284" s="3" t="s">
        <v>24</v>
      </c>
      <c r="D284" s="3" t="s">
        <v>18</v>
      </c>
      <c r="E284" s="3">
        <v>66104.19</v>
      </c>
      <c r="F284" s="3">
        <v>5745.0</v>
      </c>
      <c r="G284" s="3">
        <v>0.07</v>
      </c>
      <c r="H284" s="3">
        <v>17.0</v>
      </c>
      <c r="I284" s="3">
        <v>95.8</v>
      </c>
      <c r="J284" s="3">
        <v>3.15</v>
      </c>
      <c r="K284" s="3">
        <v>0.0</v>
      </c>
      <c r="L284" s="3">
        <v>4.0</v>
      </c>
      <c r="M284" s="3">
        <v>714083.68</v>
      </c>
      <c r="N284" s="3">
        <v>127231.74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 t="s">
        <v>92</v>
      </c>
      <c r="B285" s="4">
        <v>45748.0</v>
      </c>
      <c r="C285" s="3" t="s">
        <v>24</v>
      </c>
      <c r="D285" s="3" t="s">
        <v>18</v>
      </c>
      <c r="E285" s="3">
        <v>18599.21</v>
      </c>
      <c r="F285" s="3">
        <v>3027.0</v>
      </c>
      <c r="G285" s="3">
        <v>0.122</v>
      </c>
      <c r="H285" s="3">
        <v>11.0</v>
      </c>
      <c r="I285" s="3">
        <v>80.9</v>
      </c>
      <c r="J285" s="3">
        <v>6.44</v>
      </c>
      <c r="K285" s="3">
        <v>0.0</v>
      </c>
      <c r="L285" s="3">
        <v>4.2</v>
      </c>
      <c r="M285" s="3">
        <v>497439.82</v>
      </c>
      <c r="N285" s="3">
        <v>93372.75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 t="s">
        <v>93</v>
      </c>
      <c r="B286" s="4">
        <v>45658.0</v>
      </c>
      <c r="C286" s="3" t="s">
        <v>27</v>
      </c>
      <c r="D286" s="3" t="s">
        <v>16</v>
      </c>
      <c r="E286" s="3">
        <v>60183.06</v>
      </c>
      <c r="F286" s="3">
        <v>5562.0</v>
      </c>
      <c r="G286" s="3">
        <v>0.009</v>
      </c>
      <c r="H286" s="3">
        <v>13.0</v>
      </c>
      <c r="I286" s="3">
        <v>86.3</v>
      </c>
      <c r="J286" s="3">
        <v>0.2</v>
      </c>
      <c r="K286" s="3">
        <v>1.0</v>
      </c>
      <c r="L286" s="3">
        <v>4.5</v>
      </c>
      <c r="M286" s="3">
        <v>636775.66</v>
      </c>
      <c r="N286" s="3">
        <v>122636.86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 t="s">
        <v>93</v>
      </c>
      <c r="B287" s="4">
        <v>45689.0</v>
      </c>
      <c r="C287" s="3" t="s">
        <v>27</v>
      </c>
      <c r="D287" s="3" t="s">
        <v>16</v>
      </c>
      <c r="E287" s="3">
        <v>74539.14</v>
      </c>
      <c r="F287" s="3">
        <v>4487.0</v>
      </c>
      <c r="G287" s="3">
        <v>0.14</v>
      </c>
      <c r="H287" s="3">
        <v>10.0</v>
      </c>
      <c r="I287" s="3">
        <v>90.4</v>
      </c>
      <c r="J287" s="3">
        <v>0.59</v>
      </c>
      <c r="K287" s="3">
        <v>0.0</v>
      </c>
      <c r="L287" s="3">
        <v>4.5</v>
      </c>
      <c r="M287" s="3">
        <v>633009.53</v>
      </c>
      <c r="N287" s="3">
        <v>123782.67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 t="s">
        <v>93</v>
      </c>
      <c r="B288" s="4">
        <v>45717.0</v>
      </c>
      <c r="C288" s="3" t="s">
        <v>27</v>
      </c>
      <c r="D288" s="3" t="s">
        <v>16</v>
      </c>
      <c r="E288" s="3">
        <v>55371.97</v>
      </c>
      <c r="F288" s="3">
        <v>4162.0</v>
      </c>
      <c r="G288" s="3">
        <v>0.183</v>
      </c>
      <c r="H288" s="3">
        <v>11.0</v>
      </c>
      <c r="I288" s="3">
        <v>92.0</v>
      </c>
      <c r="J288" s="3">
        <v>0.2</v>
      </c>
      <c r="K288" s="3">
        <v>1.0</v>
      </c>
      <c r="L288" s="3">
        <v>4.2</v>
      </c>
      <c r="M288" s="3">
        <v>609949.0</v>
      </c>
      <c r="N288" s="3">
        <v>126789.25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 t="s">
        <v>93</v>
      </c>
      <c r="B289" s="4">
        <v>45748.0</v>
      </c>
      <c r="C289" s="3" t="s">
        <v>27</v>
      </c>
      <c r="D289" s="3" t="s">
        <v>16</v>
      </c>
      <c r="E289" s="3">
        <v>40928.69</v>
      </c>
      <c r="F289" s="3">
        <v>4094.0</v>
      </c>
      <c r="G289" s="3">
        <v>0.174</v>
      </c>
      <c r="H289" s="3">
        <v>13.0</v>
      </c>
      <c r="I289" s="3">
        <v>82.4</v>
      </c>
      <c r="J289" s="3">
        <v>1.36</v>
      </c>
      <c r="K289" s="3">
        <v>0.0</v>
      </c>
      <c r="L289" s="3">
        <v>4.8</v>
      </c>
      <c r="M289" s="3">
        <v>548103.7</v>
      </c>
      <c r="N289" s="3">
        <v>99905.52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 t="s">
        <v>94</v>
      </c>
      <c r="B290" s="4">
        <v>45658.0</v>
      </c>
      <c r="C290" s="3" t="s">
        <v>15</v>
      </c>
      <c r="D290" s="3" t="s">
        <v>16</v>
      </c>
      <c r="E290" s="3">
        <v>70012.41</v>
      </c>
      <c r="F290" s="3">
        <v>8484.0</v>
      </c>
      <c r="G290" s="3">
        <v>0.273</v>
      </c>
      <c r="H290" s="3">
        <v>23.0</v>
      </c>
      <c r="I290" s="3">
        <v>72.9</v>
      </c>
      <c r="J290" s="3">
        <v>3.34</v>
      </c>
      <c r="K290" s="3">
        <v>0.0</v>
      </c>
      <c r="L290" s="3">
        <v>3.7</v>
      </c>
      <c r="M290" s="3">
        <v>729424.42</v>
      </c>
      <c r="N290" s="3">
        <v>75592.28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 t="s">
        <v>94</v>
      </c>
      <c r="B291" s="4">
        <v>45689.0</v>
      </c>
      <c r="C291" s="3" t="s">
        <v>15</v>
      </c>
      <c r="D291" s="3" t="s">
        <v>16</v>
      </c>
      <c r="E291" s="3">
        <v>68909.26</v>
      </c>
      <c r="F291" s="3">
        <v>7794.0</v>
      </c>
      <c r="G291" s="3">
        <v>0.284</v>
      </c>
      <c r="H291" s="3">
        <v>22.0</v>
      </c>
      <c r="I291" s="3">
        <v>89.0</v>
      </c>
      <c r="J291" s="3">
        <v>0.33</v>
      </c>
      <c r="K291" s="3">
        <v>0.0</v>
      </c>
      <c r="L291" s="3">
        <v>4.0</v>
      </c>
      <c r="M291" s="3">
        <v>696261.49</v>
      </c>
      <c r="N291" s="3">
        <v>72455.35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 t="s">
        <v>94</v>
      </c>
      <c r="B292" s="4">
        <v>45717.0</v>
      </c>
      <c r="C292" s="3" t="s">
        <v>15</v>
      </c>
      <c r="D292" s="3" t="s">
        <v>16</v>
      </c>
      <c r="E292" s="3">
        <v>56737.3</v>
      </c>
      <c r="F292" s="3">
        <v>8300.0</v>
      </c>
      <c r="G292" s="3">
        <v>0.032</v>
      </c>
      <c r="H292" s="3">
        <v>21.0</v>
      </c>
      <c r="I292" s="3">
        <v>83.2</v>
      </c>
      <c r="J292" s="3">
        <v>3.44</v>
      </c>
      <c r="K292" s="3">
        <v>1.0</v>
      </c>
      <c r="L292" s="3">
        <v>4.3</v>
      </c>
      <c r="M292" s="3">
        <v>813316.71</v>
      </c>
      <c r="N292" s="3">
        <v>110077.42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 t="s">
        <v>94</v>
      </c>
      <c r="B293" s="4">
        <v>45748.0</v>
      </c>
      <c r="C293" s="3" t="s">
        <v>15</v>
      </c>
      <c r="D293" s="3" t="s">
        <v>16</v>
      </c>
      <c r="E293" s="3">
        <v>54080.91</v>
      </c>
      <c r="F293" s="3">
        <v>7083.0</v>
      </c>
      <c r="G293" s="3">
        <v>0.0</v>
      </c>
      <c r="H293" s="3">
        <v>15.0</v>
      </c>
      <c r="I293" s="3">
        <v>97.0</v>
      </c>
      <c r="J293" s="3">
        <v>5.33</v>
      </c>
      <c r="K293" s="3">
        <v>0.0</v>
      </c>
      <c r="L293" s="3">
        <v>4.1</v>
      </c>
      <c r="M293" s="3">
        <v>702068.92</v>
      </c>
      <c r="N293" s="3">
        <v>111266.63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 t="s">
        <v>95</v>
      </c>
      <c r="B294" s="4">
        <v>45658.0</v>
      </c>
      <c r="C294" s="3" t="s">
        <v>27</v>
      </c>
      <c r="D294" s="3" t="s">
        <v>18</v>
      </c>
      <c r="E294" s="3">
        <v>51996.32</v>
      </c>
      <c r="F294" s="3">
        <v>3834.0</v>
      </c>
      <c r="G294" s="3">
        <v>0.096</v>
      </c>
      <c r="H294" s="3">
        <v>8.0</v>
      </c>
      <c r="I294" s="3">
        <v>86.7</v>
      </c>
      <c r="J294" s="3">
        <v>6.04</v>
      </c>
      <c r="K294" s="3">
        <v>0.0</v>
      </c>
      <c r="L294" s="3">
        <v>4.5</v>
      </c>
      <c r="M294" s="3">
        <v>546223.7</v>
      </c>
      <c r="N294" s="3">
        <v>100769.17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 t="s">
        <v>95</v>
      </c>
      <c r="B295" s="4">
        <v>45689.0</v>
      </c>
      <c r="C295" s="3" t="s">
        <v>27</v>
      </c>
      <c r="D295" s="3" t="s">
        <v>18</v>
      </c>
      <c r="E295" s="3">
        <v>40102.88</v>
      </c>
      <c r="F295" s="3">
        <v>2358.0</v>
      </c>
      <c r="G295" s="3">
        <v>0.119</v>
      </c>
      <c r="H295" s="3">
        <v>9.0</v>
      </c>
      <c r="I295" s="3">
        <v>88.7</v>
      </c>
      <c r="J295" s="3">
        <v>1.6</v>
      </c>
      <c r="K295" s="3">
        <v>0.0</v>
      </c>
      <c r="L295" s="3">
        <v>4.2</v>
      </c>
      <c r="M295" s="3">
        <v>533121.26</v>
      </c>
      <c r="N295" s="3">
        <v>55063.39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 t="s">
        <v>95</v>
      </c>
      <c r="B296" s="4">
        <v>45717.0</v>
      </c>
      <c r="C296" s="3" t="s">
        <v>27</v>
      </c>
      <c r="D296" s="3" t="s">
        <v>18</v>
      </c>
      <c r="E296" s="3">
        <v>59825.51</v>
      </c>
      <c r="F296" s="3">
        <v>1231.0</v>
      </c>
      <c r="G296" s="3">
        <v>0.214</v>
      </c>
      <c r="H296" s="3">
        <v>10.0</v>
      </c>
      <c r="I296" s="3">
        <v>84.8</v>
      </c>
      <c r="J296" s="3">
        <v>8.96</v>
      </c>
      <c r="K296" s="3">
        <v>0.0</v>
      </c>
      <c r="L296" s="3">
        <v>4.7</v>
      </c>
      <c r="M296" s="3">
        <v>498970.32</v>
      </c>
      <c r="N296" s="3">
        <v>69656.7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 t="s">
        <v>95</v>
      </c>
      <c r="B297" s="4">
        <v>45748.0</v>
      </c>
      <c r="C297" s="3" t="s">
        <v>27</v>
      </c>
      <c r="D297" s="3" t="s">
        <v>18</v>
      </c>
      <c r="E297" s="3">
        <v>27398.28</v>
      </c>
      <c r="F297" s="3">
        <v>1723.0</v>
      </c>
      <c r="G297" s="3">
        <v>0.171</v>
      </c>
      <c r="H297" s="3">
        <v>9.0</v>
      </c>
      <c r="I297" s="3">
        <v>81.0</v>
      </c>
      <c r="J297" s="3">
        <v>0.74</v>
      </c>
      <c r="K297" s="3">
        <v>0.0</v>
      </c>
      <c r="L297" s="3">
        <v>4.6</v>
      </c>
      <c r="M297" s="3">
        <v>487738.26</v>
      </c>
      <c r="N297" s="3">
        <v>96435.6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 t="s">
        <v>96</v>
      </c>
      <c r="B298" s="4">
        <v>45658.0</v>
      </c>
      <c r="C298" s="3" t="s">
        <v>27</v>
      </c>
      <c r="D298" s="3" t="s">
        <v>18</v>
      </c>
      <c r="E298" s="3">
        <v>55599.56</v>
      </c>
      <c r="F298" s="3">
        <v>5896.0</v>
      </c>
      <c r="G298" s="3">
        <v>0.036</v>
      </c>
      <c r="H298" s="3">
        <v>12.0</v>
      </c>
      <c r="I298" s="3">
        <v>93.1</v>
      </c>
      <c r="J298" s="3">
        <v>6.13</v>
      </c>
      <c r="K298" s="3">
        <v>0.0</v>
      </c>
      <c r="L298" s="3">
        <v>3.3</v>
      </c>
      <c r="M298" s="3">
        <v>668459.37</v>
      </c>
      <c r="N298" s="3">
        <v>126435.42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 t="s">
        <v>96</v>
      </c>
      <c r="B299" s="4">
        <v>45689.0</v>
      </c>
      <c r="C299" s="3" t="s">
        <v>27</v>
      </c>
      <c r="D299" s="3" t="s">
        <v>18</v>
      </c>
      <c r="E299" s="3">
        <v>55477.61</v>
      </c>
      <c r="F299" s="3">
        <v>5903.0</v>
      </c>
      <c r="G299" s="3">
        <v>0.102</v>
      </c>
      <c r="H299" s="3">
        <v>14.0</v>
      </c>
      <c r="I299" s="3">
        <v>96.2</v>
      </c>
      <c r="J299" s="3">
        <v>1.41</v>
      </c>
      <c r="K299" s="3">
        <v>0.0</v>
      </c>
      <c r="L299" s="3">
        <v>3.3</v>
      </c>
      <c r="M299" s="3">
        <v>763162.45</v>
      </c>
      <c r="N299" s="3">
        <v>162524.05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 t="s">
        <v>96</v>
      </c>
      <c r="B300" s="4">
        <v>45717.0</v>
      </c>
      <c r="C300" s="3" t="s">
        <v>27</v>
      </c>
      <c r="D300" s="3" t="s">
        <v>18</v>
      </c>
      <c r="E300" s="3">
        <v>46174.7</v>
      </c>
      <c r="F300" s="3">
        <v>4898.0</v>
      </c>
      <c r="G300" s="3">
        <v>0.114</v>
      </c>
      <c r="H300" s="3">
        <v>11.0</v>
      </c>
      <c r="I300" s="3">
        <v>91.7</v>
      </c>
      <c r="J300" s="3">
        <v>3.75</v>
      </c>
      <c r="K300" s="3">
        <v>0.0</v>
      </c>
      <c r="L300" s="3">
        <v>3.1</v>
      </c>
      <c r="M300" s="3">
        <v>599017.33</v>
      </c>
      <c r="N300" s="3">
        <v>134009.92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 t="s">
        <v>96</v>
      </c>
      <c r="B301" s="4">
        <v>45748.0</v>
      </c>
      <c r="C301" s="3" t="s">
        <v>27</v>
      </c>
      <c r="D301" s="3" t="s">
        <v>18</v>
      </c>
      <c r="E301" s="3">
        <v>24362.98</v>
      </c>
      <c r="F301" s="3">
        <v>1462.0</v>
      </c>
      <c r="G301" s="3">
        <v>0.117</v>
      </c>
      <c r="H301" s="3">
        <v>6.0</v>
      </c>
      <c r="I301" s="3">
        <v>89.3</v>
      </c>
      <c r="J301" s="3">
        <v>15.06</v>
      </c>
      <c r="K301" s="3">
        <v>0.0</v>
      </c>
      <c r="L301" s="3">
        <v>3.2</v>
      </c>
      <c r="M301" s="3">
        <v>401582.58</v>
      </c>
      <c r="N301" s="3">
        <v>68454.93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 t="s">
        <v>97</v>
      </c>
      <c r="B302" s="4">
        <v>45658.0</v>
      </c>
      <c r="C302" s="3" t="s">
        <v>20</v>
      </c>
      <c r="D302" s="3" t="s">
        <v>28</v>
      </c>
      <c r="E302" s="3">
        <v>40647.67</v>
      </c>
      <c r="F302" s="3">
        <v>8252.0</v>
      </c>
      <c r="G302" s="3">
        <v>0.141</v>
      </c>
      <c r="H302" s="3">
        <v>22.0</v>
      </c>
      <c r="I302" s="3">
        <v>88.2</v>
      </c>
      <c r="J302" s="3">
        <v>5.07</v>
      </c>
      <c r="K302" s="3">
        <v>1.0</v>
      </c>
      <c r="L302" s="3">
        <v>4.1</v>
      </c>
      <c r="M302" s="3">
        <v>703812.99</v>
      </c>
      <c r="N302" s="3">
        <v>133577.98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 t="s">
        <v>97</v>
      </c>
      <c r="B303" s="4">
        <v>45689.0</v>
      </c>
      <c r="C303" s="3" t="s">
        <v>20</v>
      </c>
      <c r="D303" s="3" t="s">
        <v>28</v>
      </c>
      <c r="E303" s="3">
        <v>63986.98</v>
      </c>
      <c r="F303" s="3">
        <v>7989.0</v>
      </c>
      <c r="G303" s="3">
        <v>0.074</v>
      </c>
      <c r="H303" s="3">
        <v>20.0</v>
      </c>
      <c r="I303" s="3">
        <v>83.3</v>
      </c>
      <c r="J303" s="3">
        <v>3.6</v>
      </c>
      <c r="K303" s="3">
        <v>0.0</v>
      </c>
      <c r="L303" s="3">
        <v>3.7</v>
      </c>
      <c r="M303" s="3">
        <v>724346.73</v>
      </c>
      <c r="N303" s="3">
        <v>155013.91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 t="s">
        <v>97</v>
      </c>
      <c r="B304" s="4">
        <v>45717.0</v>
      </c>
      <c r="C304" s="3" t="s">
        <v>20</v>
      </c>
      <c r="D304" s="3" t="s">
        <v>28</v>
      </c>
      <c r="E304" s="3">
        <v>52843.75</v>
      </c>
      <c r="F304" s="3">
        <v>8268.0</v>
      </c>
      <c r="G304" s="3">
        <v>0.138</v>
      </c>
      <c r="H304" s="3">
        <v>19.0</v>
      </c>
      <c r="I304" s="3">
        <v>87.3</v>
      </c>
      <c r="J304" s="3">
        <v>4.39</v>
      </c>
      <c r="K304" s="3">
        <v>1.0</v>
      </c>
      <c r="L304" s="3">
        <v>4.7</v>
      </c>
      <c r="M304" s="3">
        <v>730890.01</v>
      </c>
      <c r="N304" s="3">
        <v>105502.56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 t="s">
        <v>97</v>
      </c>
      <c r="B305" s="4">
        <v>45748.0</v>
      </c>
      <c r="C305" s="3" t="s">
        <v>20</v>
      </c>
      <c r="D305" s="3" t="s">
        <v>28</v>
      </c>
      <c r="E305" s="3">
        <v>31997.25</v>
      </c>
      <c r="F305" s="3">
        <v>8183.0</v>
      </c>
      <c r="G305" s="3">
        <v>0.198</v>
      </c>
      <c r="H305" s="3">
        <v>18.0</v>
      </c>
      <c r="I305" s="3">
        <v>93.0</v>
      </c>
      <c r="J305" s="3">
        <v>2.79</v>
      </c>
      <c r="K305" s="3">
        <v>0.0</v>
      </c>
      <c r="L305" s="3">
        <v>4.2</v>
      </c>
      <c r="M305" s="3">
        <v>780580.95</v>
      </c>
      <c r="N305" s="3">
        <v>138144.46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 t="s">
        <v>98</v>
      </c>
      <c r="B306" s="4">
        <v>45658.0</v>
      </c>
      <c r="C306" s="3" t="s">
        <v>24</v>
      </c>
      <c r="D306" s="3" t="s">
        <v>16</v>
      </c>
      <c r="E306" s="3">
        <v>54948.02</v>
      </c>
      <c r="F306" s="3">
        <v>6534.0</v>
      </c>
      <c r="G306" s="3">
        <v>0.183</v>
      </c>
      <c r="H306" s="3">
        <v>14.0</v>
      </c>
      <c r="I306" s="3">
        <v>94.5</v>
      </c>
      <c r="J306" s="3">
        <v>1.56</v>
      </c>
      <c r="K306" s="3">
        <v>0.0</v>
      </c>
      <c r="L306" s="3">
        <v>4.0</v>
      </c>
      <c r="M306" s="3">
        <v>727957.48</v>
      </c>
      <c r="N306" s="3">
        <v>74805.23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 t="s">
        <v>98</v>
      </c>
      <c r="B307" s="4">
        <v>45689.0</v>
      </c>
      <c r="C307" s="3" t="s">
        <v>24</v>
      </c>
      <c r="D307" s="3" t="s">
        <v>16</v>
      </c>
      <c r="E307" s="3">
        <v>46146.24</v>
      </c>
      <c r="F307" s="3">
        <v>5804.0</v>
      </c>
      <c r="G307" s="3">
        <v>0.047</v>
      </c>
      <c r="H307" s="3">
        <v>16.0</v>
      </c>
      <c r="I307" s="3">
        <v>86.9</v>
      </c>
      <c r="J307" s="3">
        <v>15.82</v>
      </c>
      <c r="K307" s="3">
        <v>0.0</v>
      </c>
      <c r="L307" s="3">
        <v>3.8</v>
      </c>
      <c r="M307" s="3">
        <v>538376.0</v>
      </c>
      <c r="N307" s="3">
        <v>87605.62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 t="s">
        <v>98</v>
      </c>
      <c r="B308" s="4">
        <v>45717.0</v>
      </c>
      <c r="C308" s="3" t="s">
        <v>24</v>
      </c>
      <c r="D308" s="3" t="s">
        <v>16</v>
      </c>
      <c r="E308" s="3">
        <v>22387.26</v>
      </c>
      <c r="F308" s="3">
        <v>6301.0</v>
      </c>
      <c r="G308" s="3">
        <v>0.146</v>
      </c>
      <c r="H308" s="3">
        <v>14.0</v>
      </c>
      <c r="I308" s="3">
        <v>85.9</v>
      </c>
      <c r="J308" s="3">
        <v>1.17</v>
      </c>
      <c r="K308" s="3">
        <v>1.0</v>
      </c>
      <c r="L308" s="3">
        <v>3.7</v>
      </c>
      <c r="M308" s="3">
        <v>665342.49</v>
      </c>
      <c r="N308" s="3">
        <v>93441.81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 t="s">
        <v>98</v>
      </c>
      <c r="B309" s="4">
        <v>45748.0</v>
      </c>
      <c r="C309" s="3" t="s">
        <v>24</v>
      </c>
      <c r="D309" s="3" t="s">
        <v>16</v>
      </c>
      <c r="E309" s="3">
        <v>60684.05</v>
      </c>
      <c r="F309" s="3">
        <v>6399.0</v>
      </c>
      <c r="G309" s="3">
        <v>0.075</v>
      </c>
      <c r="H309" s="3">
        <v>16.0</v>
      </c>
      <c r="I309" s="3">
        <v>99.0</v>
      </c>
      <c r="J309" s="3">
        <v>3.82</v>
      </c>
      <c r="K309" s="3">
        <v>0.0</v>
      </c>
      <c r="L309" s="3">
        <v>3.5</v>
      </c>
      <c r="M309" s="3">
        <v>651164.18</v>
      </c>
      <c r="N309" s="3">
        <v>109466.5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 t="s">
        <v>99</v>
      </c>
      <c r="B310" s="4">
        <v>45658.0</v>
      </c>
      <c r="C310" s="3" t="s">
        <v>24</v>
      </c>
      <c r="D310" s="3" t="s">
        <v>18</v>
      </c>
      <c r="E310" s="3">
        <v>48465.6</v>
      </c>
      <c r="F310" s="3">
        <v>5759.0</v>
      </c>
      <c r="G310" s="3">
        <v>0.154</v>
      </c>
      <c r="H310" s="3">
        <v>13.0</v>
      </c>
      <c r="I310" s="3">
        <v>87.5</v>
      </c>
      <c r="J310" s="3">
        <v>4.14</v>
      </c>
      <c r="K310" s="3">
        <v>0.0</v>
      </c>
      <c r="L310" s="3">
        <v>4.0</v>
      </c>
      <c r="M310" s="3">
        <v>628538.3</v>
      </c>
      <c r="N310" s="3">
        <v>112509.15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 t="s">
        <v>99</v>
      </c>
      <c r="B311" s="4">
        <v>45689.0</v>
      </c>
      <c r="C311" s="3" t="s">
        <v>24</v>
      </c>
      <c r="D311" s="3" t="s">
        <v>18</v>
      </c>
      <c r="E311" s="3">
        <v>23702.38</v>
      </c>
      <c r="F311" s="3">
        <v>5285.0</v>
      </c>
      <c r="G311" s="3">
        <v>0.167</v>
      </c>
      <c r="H311" s="3">
        <v>14.0</v>
      </c>
      <c r="I311" s="3">
        <v>79.7</v>
      </c>
      <c r="J311" s="3">
        <v>1.1</v>
      </c>
      <c r="K311" s="3">
        <v>0.0</v>
      </c>
      <c r="L311" s="3">
        <v>4.3</v>
      </c>
      <c r="M311" s="3">
        <v>536524.84</v>
      </c>
      <c r="N311" s="3">
        <v>92752.94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 t="s">
        <v>99</v>
      </c>
      <c r="B312" s="4">
        <v>45717.0</v>
      </c>
      <c r="C312" s="3" t="s">
        <v>24</v>
      </c>
      <c r="D312" s="3" t="s">
        <v>18</v>
      </c>
      <c r="E312" s="3">
        <v>54322.94</v>
      </c>
      <c r="F312" s="3">
        <v>5434.0</v>
      </c>
      <c r="G312" s="3">
        <v>0.2</v>
      </c>
      <c r="H312" s="3">
        <v>13.0</v>
      </c>
      <c r="I312" s="3">
        <v>85.7</v>
      </c>
      <c r="J312" s="3">
        <v>10.6</v>
      </c>
      <c r="K312" s="3">
        <v>0.0</v>
      </c>
      <c r="L312" s="3">
        <v>4.2</v>
      </c>
      <c r="M312" s="3">
        <v>621677.3</v>
      </c>
      <c r="N312" s="3">
        <v>105192.52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 t="s">
        <v>99</v>
      </c>
      <c r="B313" s="4">
        <v>45748.0</v>
      </c>
      <c r="C313" s="3" t="s">
        <v>24</v>
      </c>
      <c r="D313" s="3" t="s">
        <v>18</v>
      </c>
      <c r="E313" s="3">
        <v>86026.58</v>
      </c>
      <c r="F313" s="3">
        <v>7479.0</v>
      </c>
      <c r="G313" s="3">
        <v>0.142</v>
      </c>
      <c r="H313" s="3">
        <v>20.0</v>
      </c>
      <c r="I313" s="3">
        <v>89.0</v>
      </c>
      <c r="J313" s="3">
        <v>0.9</v>
      </c>
      <c r="K313" s="3">
        <v>0.0</v>
      </c>
      <c r="L313" s="3">
        <v>3.9</v>
      </c>
      <c r="M313" s="3">
        <v>771129.07</v>
      </c>
      <c r="N313" s="3">
        <v>116851.13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 t="s">
        <v>100</v>
      </c>
      <c r="B314" s="4">
        <v>45658.0</v>
      </c>
      <c r="C314" s="3" t="s">
        <v>20</v>
      </c>
      <c r="D314" s="3" t="s">
        <v>16</v>
      </c>
      <c r="E314" s="3">
        <v>78967.52</v>
      </c>
      <c r="F314" s="3">
        <v>6164.0</v>
      </c>
      <c r="G314" s="3">
        <v>0.021</v>
      </c>
      <c r="H314" s="3">
        <v>16.0</v>
      </c>
      <c r="I314" s="3">
        <v>85.5</v>
      </c>
      <c r="J314" s="3">
        <v>0.2</v>
      </c>
      <c r="K314" s="3">
        <v>0.0</v>
      </c>
      <c r="L314" s="3">
        <v>3.4</v>
      </c>
      <c r="M314" s="3">
        <v>702052.47</v>
      </c>
      <c r="N314" s="3">
        <v>121732.51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 t="s">
        <v>100</v>
      </c>
      <c r="B315" s="4">
        <v>45689.0</v>
      </c>
      <c r="C315" s="3" t="s">
        <v>20</v>
      </c>
      <c r="D315" s="3" t="s">
        <v>16</v>
      </c>
      <c r="E315" s="3">
        <v>46767.99</v>
      </c>
      <c r="F315" s="3">
        <v>7973.0</v>
      </c>
      <c r="G315" s="3">
        <v>0.183</v>
      </c>
      <c r="H315" s="3">
        <v>18.0</v>
      </c>
      <c r="I315" s="3">
        <v>94.8</v>
      </c>
      <c r="J315" s="3">
        <v>4.67</v>
      </c>
      <c r="K315" s="3">
        <v>0.0</v>
      </c>
      <c r="L315" s="3">
        <v>3.9</v>
      </c>
      <c r="M315" s="3">
        <v>688368.46</v>
      </c>
      <c r="N315" s="3">
        <v>93588.42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 t="s">
        <v>100</v>
      </c>
      <c r="B316" s="4">
        <v>45717.0</v>
      </c>
      <c r="C316" s="3" t="s">
        <v>20</v>
      </c>
      <c r="D316" s="3" t="s">
        <v>16</v>
      </c>
      <c r="E316" s="3">
        <v>62507.16</v>
      </c>
      <c r="F316" s="3">
        <v>6000.0</v>
      </c>
      <c r="G316" s="3">
        <v>0.091</v>
      </c>
      <c r="H316" s="3">
        <v>14.0</v>
      </c>
      <c r="I316" s="3">
        <v>98.2</v>
      </c>
      <c r="J316" s="3">
        <v>4.38</v>
      </c>
      <c r="K316" s="3">
        <v>1.0</v>
      </c>
      <c r="L316" s="3">
        <v>3.9</v>
      </c>
      <c r="M316" s="3">
        <v>712375.77</v>
      </c>
      <c r="N316" s="3">
        <v>104171.53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 t="s">
        <v>100</v>
      </c>
      <c r="B317" s="4">
        <v>45748.0</v>
      </c>
      <c r="C317" s="3" t="s">
        <v>20</v>
      </c>
      <c r="D317" s="3" t="s">
        <v>16</v>
      </c>
      <c r="E317" s="3">
        <v>66456.28</v>
      </c>
      <c r="F317" s="3">
        <v>9967.0</v>
      </c>
      <c r="G317" s="3">
        <v>0.108</v>
      </c>
      <c r="H317" s="3">
        <v>20.0</v>
      </c>
      <c r="I317" s="3">
        <v>94.7</v>
      </c>
      <c r="J317" s="3">
        <v>4.48</v>
      </c>
      <c r="K317" s="3">
        <v>0.0</v>
      </c>
      <c r="L317" s="3">
        <v>4.2</v>
      </c>
      <c r="M317" s="3">
        <v>844710.67</v>
      </c>
      <c r="N317" s="3">
        <v>137140.18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 t="s">
        <v>101</v>
      </c>
      <c r="B318" s="4">
        <v>45658.0</v>
      </c>
      <c r="C318" s="3" t="s">
        <v>15</v>
      </c>
      <c r="D318" s="3" t="s">
        <v>16</v>
      </c>
      <c r="E318" s="3">
        <v>76614.32</v>
      </c>
      <c r="F318" s="3">
        <v>5639.0</v>
      </c>
      <c r="G318" s="3">
        <v>0.174</v>
      </c>
      <c r="H318" s="3">
        <v>15.0</v>
      </c>
      <c r="I318" s="3">
        <v>92.9</v>
      </c>
      <c r="J318" s="3">
        <v>1.02</v>
      </c>
      <c r="K318" s="3">
        <v>1.0</v>
      </c>
      <c r="L318" s="3">
        <v>4.0</v>
      </c>
      <c r="M318" s="3">
        <v>620264.2</v>
      </c>
      <c r="N318" s="3">
        <v>91365.64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 t="s">
        <v>101</v>
      </c>
      <c r="B319" s="4">
        <v>45689.0</v>
      </c>
      <c r="C319" s="3" t="s">
        <v>15</v>
      </c>
      <c r="D319" s="3" t="s">
        <v>16</v>
      </c>
      <c r="E319" s="3">
        <v>24088.06</v>
      </c>
      <c r="F319" s="3">
        <v>3466.0</v>
      </c>
      <c r="G319" s="3">
        <v>0.0</v>
      </c>
      <c r="H319" s="3">
        <v>11.0</v>
      </c>
      <c r="I319" s="3">
        <v>88.0</v>
      </c>
      <c r="J319" s="3">
        <v>0.2</v>
      </c>
      <c r="K319" s="3">
        <v>0.0</v>
      </c>
      <c r="L319" s="3">
        <v>3.8</v>
      </c>
      <c r="M319" s="3">
        <v>536845.42</v>
      </c>
      <c r="N319" s="3">
        <v>107473.75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 t="s">
        <v>101</v>
      </c>
      <c r="B320" s="4">
        <v>45717.0</v>
      </c>
      <c r="C320" s="3" t="s">
        <v>15</v>
      </c>
      <c r="D320" s="3" t="s">
        <v>16</v>
      </c>
      <c r="E320" s="3">
        <v>81902.58</v>
      </c>
      <c r="F320" s="3">
        <v>7775.0</v>
      </c>
      <c r="G320" s="3">
        <v>0.215</v>
      </c>
      <c r="H320" s="3">
        <v>20.0</v>
      </c>
      <c r="I320" s="3">
        <v>85.2</v>
      </c>
      <c r="J320" s="3">
        <v>4.89</v>
      </c>
      <c r="K320" s="3">
        <v>1.0</v>
      </c>
      <c r="L320" s="3">
        <v>4.2</v>
      </c>
      <c r="M320" s="3">
        <v>726776.22</v>
      </c>
      <c r="N320" s="3">
        <v>90804.49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 t="s">
        <v>101</v>
      </c>
      <c r="B321" s="4">
        <v>45748.0</v>
      </c>
      <c r="C321" s="3" t="s">
        <v>15</v>
      </c>
      <c r="D321" s="3" t="s">
        <v>16</v>
      </c>
      <c r="E321" s="3">
        <v>40553.11</v>
      </c>
      <c r="F321" s="3">
        <v>5317.0</v>
      </c>
      <c r="G321" s="3">
        <v>0.165</v>
      </c>
      <c r="H321" s="3">
        <v>17.0</v>
      </c>
      <c r="I321" s="3">
        <v>84.3</v>
      </c>
      <c r="J321" s="3">
        <v>11.82</v>
      </c>
      <c r="K321" s="3">
        <v>0.0</v>
      </c>
      <c r="L321" s="3">
        <v>4.1</v>
      </c>
      <c r="M321" s="3">
        <v>559660.84</v>
      </c>
      <c r="N321" s="3">
        <v>71443.61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8.0"/>
    <col customWidth="1" min="3" max="3" width="11.0"/>
    <col customWidth="1" min="4" max="10" width="8.71"/>
    <col customWidth="1" min="11" max="11" width="13.0"/>
    <col customWidth="1" min="12" max="12" width="12.0"/>
    <col customWidth="1" min="13" max="18" width="8.71"/>
  </cols>
  <sheetData>
    <row r="1">
      <c r="A1" s="7" t="s">
        <v>0</v>
      </c>
      <c r="B1" s="7" t="s">
        <v>1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102</v>
      </c>
      <c r="N1" s="7" t="s">
        <v>103</v>
      </c>
      <c r="O1" s="7" t="s">
        <v>104</v>
      </c>
      <c r="P1" s="7" t="s">
        <v>105</v>
      </c>
      <c r="Q1" s="7" t="s">
        <v>106</v>
      </c>
      <c r="R1" s="7" t="s">
        <v>107</v>
      </c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8">
        <v>45658.0</v>
      </c>
      <c r="C2" s="3">
        <v>70389.11</v>
      </c>
      <c r="D2" s="3">
        <v>8302.0</v>
      </c>
      <c r="E2" s="3">
        <v>0.042</v>
      </c>
      <c r="F2" s="3">
        <v>17.0</v>
      </c>
      <c r="G2" s="3">
        <v>75.0</v>
      </c>
      <c r="H2" s="3">
        <v>5.28</v>
      </c>
      <c r="I2" s="3">
        <v>1.0</v>
      </c>
      <c r="J2" s="3">
        <v>3.1</v>
      </c>
      <c r="K2" s="3">
        <v>658832.62</v>
      </c>
      <c r="L2" s="3">
        <v>84349.93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1.0</v>
      </c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B3" s="8">
        <v>45689.0</v>
      </c>
      <c r="C3" s="3">
        <v>43827.89</v>
      </c>
      <c r="D3" s="3">
        <v>8487.0</v>
      </c>
      <c r="E3" s="3">
        <v>0.168</v>
      </c>
      <c r="F3" s="3">
        <v>23.0</v>
      </c>
      <c r="G3" s="3">
        <v>84.4</v>
      </c>
      <c r="H3" s="3">
        <v>4.31</v>
      </c>
      <c r="I3" s="3">
        <v>0.0</v>
      </c>
      <c r="J3" s="3">
        <v>2.8</v>
      </c>
      <c r="K3" s="3">
        <v>634436.0</v>
      </c>
      <c r="L3" s="3">
        <v>106130.54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1.0</v>
      </c>
      <c r="S3" s="5"/>
      <c r="T3" s="5"/>
      <c r="U3" s="5"/>
      <c r="V3" s="5"/>
      <c r="W3" s="5"/>
      <c r="X3" s="5"/>
      <c r="Y3" s="5"/>
      <c r="Z3" s="5"/>
    </row>
    <row r="4">
      <c r="A4" s="3" t="s">
        <v>14</v>
      </c>
      <c r="B4" s="8">
        <v>45717.0</v>
      </c>
      <c r="C4" s="3">
        <v>59921.75</v>
      </c>
      <c r="D4" s="3">
        <v>9113.0</v>
      </c>
      <c r="E4" s="3">
        <v>0.133</v>
      </c>
      <c r="F4" s="3">
        <v>20.0</v>
      </c>
      <c r="G4" s="3">
        <v>88.0</v>
      </c>
      <c r="H4" s="3">
        <v>12.0</v>
      </c>
      <c r="I4" s="3">
        <v>0.0</v>
      </c>
      <c r="J4" s="3">
        <v>3.2</v>
      </c>
      <c r="K4" s="3">
        <v>678722.06</v>
      </c>
      <c r="L4" s="3">
        <v>101883.86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1.0</v>
      </c>
      <c r="S4" s="5"/>
      <c r="T4" s="5"/>
      <c r="U4" s="5"/>
      <c r="V4" s="5"/>
      <c r="W4" s="5"/>
      <c r="X4" s="5"/>
      <c r="Y4" s="5"/>
      <c r="Z4" s="5"/>
    </row>
    <row r="5">
      <c r="A5" s="3" t="s">
        <v>14</v>
      </c>
      <c r="B5" s="8">
        <v>45748.0</v>
      </c>
      <c r="C5" s="3">
        <v>56856.63</v>
      </c>
      <c r="D5" s="3">
        <v>9431.0</v>
      </c>
      <c r="E5" s="3">
        <v>0.142</v>
      </c>
      <c r="F5" s="3">
        <v>23.0</v>
      </c>
      <c r="G5" s="3">
        <v>86.9</v>
      </c>
      <c r="H5" s="3">
        <v>4.97</v>
      </c>
      <c r="I5" s="3">
        <v>0.0</v>
      </c>
      <c r="J5" s="3">
        <v>3.4</v>
      </c>
      <c r="K5" s="3">
        <v>658920.3</v>
      </c>
      <c r="L5" s="3">
        <v>97910.37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1.0</v>
      </c>
      <c r="S5" s="5"/>
      <c r="T5" s="5"/>
      <c r="U5" s="5"/>
      <c r="V5" s="5"/>
      <c r="W5" s="5"/>
      <c r="X5" s="5"/>
      <c r="Y5" s="5"/>
      <c r="Z5" s="5"/>
    </row>
    <row r="6">
      <c r="A6" s="3" t="s">
        <v>17</v>
      </c>
      <c r="B6" s="8">
        <v>45658.0</v>
      </c>
      <c r="C6" s="3">
        <v>48412.64</v>
      </c>
      <c r="D6" s="3">
        <v>9545.0</v>
      </c>
      <c r="E6" s="3">
        <v>0.231</v>
      </c>
      <c r="F6" s="3">
        <v>21.0</v>
      </c>
      <c r="G6" s="3">
        <v>97.6</v>
      </c>
      <c r="H6" s="3">
        <v>6.94</v>
      </c>
      <c r="I6" s="3">
        <v>1.0</v>
      </c>
      <c r="J6" s="3">
        <v>4.2</v>
      </c>
      <c r="K6" s="3">
        <v>741341.44</v>
      </c>
      <c r="L6" s="3">
        <v>119208.17</v>
      </c>
      <c r="M6" s="3">
        <v>0.0</v>
      </c>
      <c r="N6" s="3">
        <v>0.0</v>
      </c>
      <c r="O6" s="3">
        <v>0.0</v>
      </c>
      <c r="P6" s="3">
        <v>1.0</v>
      </c>
      <c r="Q6" s="3">
        <v>0.0</v>
      </c>
      <c r="R6" s="3">
        <v>0.0</v>
      </c>
      <c r="S6" s="5"/>
      <c r="T6" s="5"/>
      <c r="U6" s="5"/>
      <c r="V6" s="5"/>
      <c r="W6" s="5"/>
      <c r="X6" s="5"/>
      <c r="Y6" s="5"/>
      <c r="Z6" s="5"/>
    </row>
    <row r="7">
      <c r="A7" s="3" t="s">
        <v>17</v>
      </c>
      <c r="B7" s="8">
        <v>45689.0</v>
      </c>
      <c r="C7" s="3">
        <v>64811.21</v>
      </c>
      <c r="D7" s="3">
        <v>9792.0</v>
      </c>
      <c r="E7" s="3">
        <v>0.112</v>
      </c>
      <c r="F7" s="3">
        <v>20.0</v>
      </c>
      <c r="G7" s="3">
        <v>84.2</v>
      </c>
      <c r="H7" s="3">
        <v>2.88</v>
      </c>
      <c r="I7" s="3">
        <v>0.0</v>
      </c>
      <c r="J7" s="3">
        <v>4.2</v>
      </c>
      <c r="K7" s="3">
        <v>761835.34</v>
      </c>
      <c r="L7" s="3">
        <v>149602.23</v>
      </c>
      <c r="M7" s="3">
        <v>0.0</v>
      </c>
      <c r="N7" s="3">
        <v>0.0</v>
      </c>
      <c r="O7" s="3">
        <v>0.0</v>
      </c>
      <c r="P7" s="3">
        <v>1.0</v>
      </c>
      <c r="Q7" s="3">
        <v>0.0</v>
      </c>
      <c r="R7" s="3">
        <v>0.0</v>
      </c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8">
        <v>45717.0</v>
      </c>
      <c r="C8" s="3">
        <v>46213.45</v>
      </c>
      <c r="D8" s="3">
        <v>10616.0</v>
      </c>
      <c r="E8" s="3">
        <v>0.122</v>
      </c>
      <c r="F8" s="3">
        <v>22.0</v>
      </c>
      <c r="G8" s="3">
        <v>85.2</v>
      </c>
      <c r="H8" s="3">
        <v>0.2</v>
      </c>
      <c r="I8" s="3">
        <v>1.0</v>
      </c>
      <c r="J8" s="3">
        <v>4.1</v>
      </c>
      <c r="K8" s="3">
        <v>806615.54</v>
      </c>
      <c r="L8" s="3">
        <v>131364.62</v>
      </c>
      <c r="M8" s="3">
        <v>0.0</v>
      </c>
      <c r="N8" s="3">
        <v>0.0</v>
      </c>
      <c r="O8" s="3">
        <v>0.0</v>
      </c>
      <c r="P8" s="3">
        <v>1.0</v>
      </c>
      <c r="Q8" s="3">
        <v>0.0</v>
      </c>
      <c r="R8" s="3">
        <v>0.0</v>
      </c>
      <c r="S8" s="5"/>
      <c r="T8" s="5"/>
      <c r="U8" s="5"/>
      <c r="V8" s="5"/>
      <c r="W8" s="5"/>
      <c r="X8" s="5"/>
      <c r="Y8" s="5"/>
      <c r="Z8" s="5"/>
    </row>
    <row r="9">
      <c r="A9" s="3" t="s">
        <v>17</v>
      </c>
      <c r="B9" s="8">
        <v>45748.0</v>
      </c>
      <c r="C9" s="3">
        <v>68148.52</v>
      </c>
      <c r="D9" s="3">
        <v>8567.0</v>
      </c>
      <c r="E9" s="3">
        <v>0.127</v>
      </c>
      <c r="F9" s="3">
        <v>23.0</v>
      </c>
      <c r="G9" s="3">
        <v>95.6</v>
      </c>
      <c r="H9" s="3">
        <v>0.8</v>
      </c>
      <c r="I9" s="3">
        <v>0.0</v>
      </c>
      <c r="J9" s="3">
        <v>3.9</v>
      </c>
      <c r="K9" s="3">
        <v>850164.26</v>
      </c>
      <c r="L9" s="3">
        <v>149262.75</v>
      </c>
      <c r="M9" s="3">
        <v>0.0</v>
      </c>
      <c r="N9" s="3">
        <v>0.0</v>
      </c>
      <c r="O9" s="3">
        <v>0.0</v>
      </c>
      <c r="P9" s="3">
        <v>1.0</v>
      </c>
      <c r="Q9" s="3">
        <v>0.0</v>
      </c>
      <c r="R9" s="3">
        <v>0.0</v>
      </c>
      <c r="S9" s="5"/>
      <c r="T9" s="5"/>
      <c r="U9" s="5"/>
      <c r="V9" s="5"/>
      <c r="W9" s="5"/>
      <c r="X9" s="5"/>
      <c r="Y9" s="5"/>
      <c r="Z9" s="5"/>
    </row>
    <row r="10">
      <c r="A10" s="3" t="s">
        <v>19</v>
      </c>
      <c r="B10" s="8">
        <v>45658.0</v>
      </c>
      <c r="C10" s="3">
        <v>71838.86</v>
      </c>
      <c r="D10" s="3">
        <v>10979.0</v>
      </c>
      <c r="E10" s="3">
        <v>0.215</v>
      </c>
      <c r="F10" s="3">
        <v>26.0</v>
      </c>
      <c r="G10" s="3">
        <v>88.6</v>
      </c>
      <c r="H10" s="3">
        <v>7.7</v>
      </c>
      <c r="I10" s="3">
        <v>1.0</v>
      </c>
      <c r="J10" s="3">
        <v>3.8</v>
      </c>
      <c r="K10" s="3">
        <v>930581.7</v>
      </c>
      <c r="L10" s="3">
        <v>136207.98</v>
      </c>
      <c r="M10" s="3">
        <v>1.0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5"/>
      <c r="T10" s="5"/>
      <c r="U10" s="5"/>
      <c r="V10" s="5"/>
      <c r="W10" s="5"/>
      <c r="X10" s="5"/>
      <c r="Y10" s="5"/>
      <c r="Z10" s="5"/>
    </row>
    <row r="11">
      <c r="A11" s="3" t="s">
        <v>19</v>
      </c>
      <c r="B11" s="8">
        <v>45689.0</v>
      </c>
      <c r="C11" s="3">
        <v>68133.44</v>
      </c>
      <c r="D11" s="3">
        <v>9459.0</v>
      </c>
      <c r="E11" s="3">
        <v>0.22</v>
      </c>
      <c r="F11" s="3">
        <v>21.0</v>
      </c>
      <c r="G11" s="3">
        <v>85.0</v>
      </c>
      <c r="H11" s="3">
        <v>1.91</v>
      </c>
      <c r="I11" s="3">
        <v>0.0</v>
      </c>
      <c r="J11" s="3">
        <v>4.2</v>
      </c>
      <c r="K11" s="3">
        <v>779010.94</v>
      </c>
      <c r="L11" s="3">
        <v>106328.09</v>
      </c>
      <c r="M11" s="3">
        <v>1.0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5"/>
      <c r="T11" s="5"/>
      <c r="U11" s="5"/>
      <c r="V11" s="5"/>
      <c r="W11" s="5"/>
      <c r="X11" s="5"/>
      <c r="Y11" s="5"/>
      <c r="Z11" s="5"/>
    </row>
    <row r="12">
      <c r="A12" s="3" t="s">
        <v>19</v>
      </c>
      <c r="B12" s="8">
        <v>45717.0</v>
      </c>
      <c r="C12" s="3">
        <v>34285.21</v>
      </c>
      <c r="D12" s="3">
        <v>9172.0</v>
      </c>
      <c r="E12" s="3">
        <v>0.213</v>
      </c>
      <c r="F12" s="3">
        <v>22.0</v>
      </c>
      <c r="G12" s="3">
        <v>88.3</v>
      </c>
      <c r="H12" s="3">
        <v>10.46</v>
      </c>
      <c r="I12" s="3">
        <v>1.0</v>
      </c>
      <c r="J12" s="3">
        <v>3.8</v>
      </c>
      <c r="K12" s="3">
        <v>723060.76</v>
      </c>
      <c r="L12" s="3">
        <v>123131.24</v>
      </c>
      <c r="M12" s="3">
        <v>1.0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5"/>
      <c r="T12" s="5"/>
      <c r="U12" s="5"/>
      <c r="V12" s="5"/>
      <c r="W12" s="5"/>
      <c r="X12" s="5"/>
      <c r="Y12" s="5"/>
      <c r="Z12" s="5"/>
    </row>
    <row r="13">
      <c r="A13" s="3" t="s">
        <v>19</v>
      </c>
      <c r="B13" s="8">
        <v>45748.0</v>
      </c>
      <c r="C13" s="3">
        <v>67979.88</v>
      </c>
      <c r="D13" s="3">
        <v>11230.0</v>
      </c>
      <c r="E13" s="3">
        <v>0.002</v>
      </c>
      <c r="F13" s="3">
        <v>28.0</v>
      </c>
      <c r="G13" s="3">
        <v>85.3</v>
      </c>
      <c r="H13" s="3">
        <v>7.16</v>
      </c>
      <c r="I13" s="3">
        <v>0.0</v>
      </c>
      <c r="J13" s="3">
        <v>3.8</v>
      </c>
      <c r="K13" s="3">
        <v>910791.94</v>
      </c>
      <c r="L13" s="3">
        <v>158891.28</v>
      </c>
      <c r="M13" s="3">
        <v>1.0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5"/>
      <c r="T13" s="5"/>
      <c r="U13" s="5"/>
      <c r="V13" s="5"/>
      <c r="W13" s="5"/>
      <c r="X13" s="5"/>
      <c r="Y13" s="5"/>
      <c r="Z13" s="5"/>
    </row>
    <row r="14">
      <c r="A14" s="3" t="s">
        <v>22</v>
      </c>
      <c r="B14" s="8">
        <v>45658.0</v>
      </c>
      <c r="C14" s="3">
        <v>71828.26</v>
      </c>
      <c r="D14" s="3">
        <v>12775.0</v>
      </c>
      <c r="E14" s="3">
        <v>0.116</v>
      </c>
      <c r="F14" s="3">
        <v>30.0</v>
      </c>
      <c r="G14" s="3">
        <v>81.7</v>
      </c>
      <c r="H14" s="3">
        <v>4.24</v>
      </c>
      <c r="I14" s="3">
        <v>1.0</v>
      </c>
      <c r="J14" s="3">
        <v>4.2</v>
      </c>
      <c r="K14" s="3">
        <v>922168.6</v>
      </c>
      <c r="L14" s="3">
        <v>107494.53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1.0</v>
      </c>
      <c r="S14" s="5"/>
      <c r="T14" s="5"/>
      <c r="U14" s="5"/>
      <c r="V14" s="5"/>
      <c r="W14" s="5"/>
      <c r="X14" s="5"/>
      <c r="Y14" s="5"/>
      <c r="Z14" s="5"/>
    </row>
    <row r="15">
      <c r="A15" s="3" t="s">
        <v>22</v>
      </c>
      <c r="B15" s="8">
        <v>45689.0</v>
      </c>
      <c r="C15" s="3">
        <v>55716.82</v>
      </c>
      <c r="D15" s="3">
        <v>10054.0</v>
      </c>
      <c r="E15" s="3">
        <v>0.146</v>
      </c>
      <c r="F15" s="3">
        <v>24.0</v>
      </c>
      <c r="G15" s="3">
        <v>84.9</v>
      </c>
      <c r="H15" s="3">
        <v>1.06</v>
      </c>
      <c r="I15" s="3">
        <v>0.0</v>
      </c>
      <c r="J15" s="3">
        <v>4.3</v>
      </c>
      <c r="K15" s="3">
        <v>726606.28</v>
      </c>
      <c r="L15" s="3">
        <v>122729.29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1.0</v>
      </c>
      <c r="S15" s="5"/>
      <c r="T15" s="5"/>
      <c r="U15" s="5"/>
      <c r="V15" s="5"/>
      <c r="W15" s="5"/>
      <c r="X15" s="5"/>
      <c r="Y15" s="5"/>
      <c r="Z15" s="5"/>
    </row>
    <row r="16">
      <c r="A16" s="3" t="s">
        <v>22</v>
      </c>
      <c r="B16" s="8">
        <v>45717.0</v>
      </c>
      <c r="C16" s="3">
        <v>59909.51</v>
      </c>
      <c r="D16" s="3">
        <v>8895.0</v>
      </c>
      <c r="E16" s="3">
        <v>0.228</v>
      </c>
      <c r="F16" s="3">
        <v>23.0</v>
      </c>
      <c r="G16" s="3">
        <v>88.8</v>
      </c>
      <c r="H16" s="3">
        <v>0.27</v>
      </c>
      <c r="I16" s="3">
        <v>0.0</v>
      </c>
      <c r="J16" s="3">
        <v>4.3</v>
      </c>
      <c r="K16" s="3">
        <v>746501.09</v>
      </c>
      <c r="L16" s="3">
        <v>136816.72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1.0</v>
      </c>
      <c r="S16" s="5"/>
      <c r="T16" s="5"/>
      <c r="U16" s="5"/>
      <c r="V16" s="5"/>
      <c r="W16" s="5"/>
      <c r="X16" s="5"/>
      <c r="Y16" s="5"/>
      <c r="Z16" s="5"/>
    </row>
    <row r="17">
      <c r="A17" s="3" t="s">
        <v>22</v>
      </c>
      <c r="B17" s="8">
        <v>45748.0</v>
      </c>
      <c r="C17" s="3">
        <v>75305.71</v>
      </c>
      <c r="D17" s="3">
        <v>10940.0</v>
      </c>
      <c r="E17" s="3">
        <v>0.006</v>
      </c>
      <c r="F17" s="3">
        <v>26.0</v>
      </c>
      <c r="G17" s="3">
        <v>76.5</v>
      </c>
      <c r="H17" s="3">
        <v>1.32</v>
      </c>
      <c r="I17" s="3">
        <v>0.0</v>
      </c>
      <c r="J17" s="3">
        <v>4.5</v>
      </c>
      <c r="K17" s="3">
        <v>834017.02</v>
      </c>
      <c r="L17" s="3">
        <v>114745.03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1.0</v>
      </c>
      <c r="S17" s="5"/>
      <c r="T17" s="5"/>
      <c r="U17" s="5"/>
      <c r="V17" s="5"/>
      <c r="W17" s="5"/>
      <c r="X17" s="5"/>
      <c r="Y17" s="5"/>
      <c r="Z17" s="5"/>
    </row>
    <row r="18">
      <c r="A18" s="3" t="s">
        <v>23</v>
      </c>
      <c r="B18" s="8">
        <v>45658.0</v>
      </c>
      <c r="C18" s="3">
        <v>48804.22</v>
      </c>
      <c r="D18" s="3">
        <v>7057.0</v>
      </c>
      <c r="E18" s="3">
        <v>0.005</v>
      </c>
      <c r="F18" s="3">
        <v>15.0</v>
      </c>
      <c r="G18" s="3">
        <v>87.7</v>
      </c>
      <c r="H18" s="3">
        <v>1.22</v>
      </c>
      <c r="I18" s="3">
        <v>0.0</v>
      </c>
      <c r="J18" s="3">
        <v>3.7</v>
      </c>
      <c r="K18" s="3">
        <v>666152.52</v>
      </c>
      <c r="L18" s="3">
        <v>107490.58</v>
      </c>
      <c r="M18" s="3">
        <v>0.0</v>
      </c>
      <c r="N18" s="3">
        <v>1.0</v>
      </c>
      <c r="O18" s="3">
        <v>0.0</v>
      </c>
      <c r="P18" s="3">
        <v>0.0</v>
      </c>
      <c r="Q18" s="3">
        <v>0.0</v>
      </c>
      <c r="R18" s="3">
        <v>1.0</v>
      </c>
      <c r="S18" s="5"/>
      <c r="T18" s="5"/>
      <c r="U18" s="5"/>
      <c r="V18" s="5"/>
      <c r="W18" s="5"/>
      <c r="X18" s="5"/>
      <c r="Y18" s="5"/>
      <c r="Z18" s="5"/>
    </row>
    <row r="19">
      <c r="A19" s="3" t="s">
        <v>23</v>
      </c>
      <c r="B19" s="8">
        <v>45689.0</v>
      </c>
      <c r="C19" s="3">
        <v>59117.9</v>
      </c>
      <c r="D19" s="3">
        <v>4263.0</v>
      </c>
      <c r="E19" s="3">
        <v>0.119</v>
      </c>
      <c r="F19" s="3">
        <v>9.0</v>
      </c>
      <c r="G19" s="3">
        <v>87.6</v>
      </c>
      <c r="H19" s="3">
        <v>4.01</v>
      </c>
      <c r="I19" s="3">
        <v>0.0</v>
      </c>
      <c r="J19" s="3">
        <v>3.6</v>
      </c>
      <c r="K19" s="3">
        <v>573155.19</v>
      </c>
      <c r="L19" s="3">
        <v>83680.75</v>
      </c>
      <c r="M19" s="3">
        <v>0.0</v>
      </c>
      <c r="N19" s="3">
        <v>1.0</v>
      </c>
      <c r="O19" s="3">
        <v>0.0</v>
      </c>
      <c r="P19" s="3">
        <v>0.0</v>
      </c>
      <c r="Q19" s="3">
        <v>0.0</v>
      </c>
      <c r="R19" s="3">
        <v>1.0</v>
      </c>
      <c r="S19" s="5"/>
      <c r="T19" s="5"/>
      <c r="U19" s="5"/>
      <c r="V19" s="5"/>
      <c r="W19" s="5"/>
      <c r="X19" s="5"/>
      <c r="Y19" s="5"/>
      <c r="Z19" s="5"/>
    </row>
    <row r="20">
      <c r="A20" s="3" t="s">
        <v>23</v>
      </c>
      <c r="B20" s="8">
        <v>45717.0</v>
      </c>
      <c r="C20" s="3">
        <v>78831.12</v>
      </c>
      <c r="D20" s="3">
        <v>5538.0</v>
      </c>
      <c r="E20" s="3">
        <v>0.0</v>
      </c>
      <c r="F20" s="3">
        <v>15.0</v>
      </c>
      <c r="G20" s="3">
        <v>94.1</v>
      </c>
      <c r="H20" s="3">
        <v>0.2</v>
      </c>
      <c r="I20" s="3">
        <v>0.0</v>
      </c>
      <c r="J20" s="3">
        <v>3.9</v>
      </c>
      <c r="K20" s="3">
        <v>666573.2</v>
      </c>
      <c r="L20" s="3">
        <v>140641.02</v>
      </c>
      <c r="M20" s="3">
        <v>0.0</v>
      </c>
      <c r="N20" s="3">
        <v>1.0</v>
      </c>
      <c r="O20" s="3">
        <v>0.0</v>
      </c>
      <c r="P20" s="3">
        <v>0.0</v>
      </c>
      <c r="Q20" s="3">
        <v>0.0</v>
      </c>
      <c r="R20" s="3">
        <v>1.0</v>
      </c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23</v>
      </c>
      <c r="B21" s="8">
        <v>45748.0</v>
      </c>
      <c r="C21" s="3">
        <v>41441.93</v>
      </c>
      <c r="D21" s="3">
        <v>4865.0</v>
      </c>
      <c r="E21" s="3">
        <v>0.158</v>
      </c>
      <c r="F21" s="3">
        <v>16.0</v>
      </c>
      <c r="G21" s="3">
        <v>88.3</v>
      </c>
      <c r="H21" s="3">
        <v>0.5</v>
      </c>
      <c r="I21" s="3">
        <v>0.0</v>
      </c>
      <c r="J21" s="3">
        <v>4.0</v>
      </c>
      <c r="K21" s="3">
        <v>591619.95</v>
      </c>
      <c r="L21" s="3">
        <v>99521.35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1.0</v>
      </c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25</v>
      </c>
      <c r="B22" s="8">
        <v>45658.0</v>
      </c>
      <c r="C22" s="3">
        <v>30356.28</v>
      </c>
      <c r="D22" s="3">
        <v>2822.0</v>
      </c>
      <c r="E22" s="3">
        <v>0.231</v>
      </c>
      <c r="F22" s="3">
        <v>9.0</v>
      </c>
      <c r="G22" s="3">
        <v>84.8</v>
      </c>
      <c r="H22" s="3">
        <v>6.95</v>
      </c>
      <c r="I22" s="3">
        <v>0.0</v>
      </c>
      <c r="J22" s="3">
        <v>5.0</v>
      </c>
      <c r="K22" s="3">
        <v>415721.82</v>
      </c>
      <c r="L22" s="3">
        <v>61179.15</v>
      </c>
      <c r="M22" s="3">
        <v>1.0</v>
      </c>
      <c r="N22" s="3">
        <v>0.0</v>
      </c>
      <c r="O22" s="3">
        <v>0.0</v>
      </c>
      <c r="P22" s="3">
        <v>0.0</v>
      </c>
      <c r="Q22" s="3">
        <v>0.0</v>
      </c>
      <c r="R22" s="3">
        <v>1.0</v>
      </c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25</v>
      </c>
      <c r="B23" s="8">
        <v>45689.0</v>
      </c>
      <c r="C23" s="3">
        <v>33518.88</v>
      </c>
      <c r="D23" s="3">
        <v>2121.0</v>
      </c>
      <c r="E23" s="3">
        <v>0.176</v>
      </c>
      <c r="F23" s="3">
        <v>8.0</v>
      </c>
      <c r="G23" s="3">
        <v>88.5</v>
      </c>
      <c r="H23" s="3">
        <v>0.2</v>
      </c>
      <c r="I23" s="3">
        <v>0.0</v>
      </c>
      <c r="J23" s="3">
        <v>5.0</v>
      </c>
      <c r="K23" s="3">
        <v>491905.13</v>
      </c>
      <c r="L23" s="3">
        <v>79212.26</v>
      </c>
      <c r="M23" s="3">
        <v>1.0</v>
      </c>
      <c r="N23" s="3">
        <v>0.0</v>
      </c>
      <c r="O23" s="3">
        <v>0.0</v>
      </c>
      <c r="P23" s="3">
        <v>0.0</v>
      </c>
      <c r="Q23" s="3">
        <v>0.0</v>
      </c>
      <c r="R23" s="3">
        <v>1.0</v>
      </c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25</v>
      </c>
      <c r="B24" s="8">
        <v>45717.0</v>
      </c>
      <c r="C24" s="3">
        <v>42267.37</v>
      </c>
      <c r="D24" s="3">
        <v>3364.0</v>
      </c>
      <c r="E24" s="3">
        <v>0.16</v>
      </c>
      <c r="F24" s="3">
        <v>13.0</v>
      </c>
      <c r="G24" s="3">
        <v>82.0</v>
      </c>
      <c r="H24" s="3">
        <v>1.61</v>
      </c>
      <c r="I24" s="3">
        <v>1.0</v>
      </c>
      <c r="J24" s="3">
        <v>4.6</v>
      </c>
      <c r="K24" s="3">
        <v>555929.4</v>
      </c>
      <c r="L24" s="3">
        <v>115201.76</v>
      </c>
      <c r="M24" s="3">
        <v>1.0</v>
      </c>
      <c r="N24" s="3">
        <v>0.0</v>
      </c>
      <c r="O24" s="3">
        <v>0.0</v>
      </c>
      <c r="P24" s="3">
        <v>0.0</v>
      </c>
      <c r="Q24" s="3">
        <v>0.0</v>
      </c>
      <c r="R24" s="3">
        <v>1.0</v>
      </c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25</v>
      </c>
      <c r="B25" s="8">
        <v>45748.0</v>
      </c>
      <c r="C25" s="3">
        <v>62060.43</v>
      </c>
      <c r="D25" s="3">
        <v>2613.0</v>
      </c>
      <c r="E25" s="3">
        <v>0.216</v>
      </c>
      <c r="F25" s="3">
        <v>12.0</v>
      </c>
      <c r="G25" s="3">
        <v>92.1</v>
      </c>
      <c r="H25" s="3">
        <v>1.55</v>
      </c>
      <c r="I25" s="3">
        <v>0.0</v>
      </c>
      <c r="J25" s="3">
        <v>4.7</v>
      </c>
      <c r="K25" s="3">
        <v>565810.99</v>
      </c>
      <c r="L25" s="3">
        <v>77825.46</v>
      </c>
      <c r="M25" s="3">
        <v>1.0</v>
      </c>
      <c r="N25" s="3">
        <v>0.0</v>
      </c>
      <c r="O25" s="3">
        <v>0.0</v>
      </c>
      <c r="P25" s="3">
        <v>0.0</v>
      </c>
      <c r="Q25" s="3">
        <v>0.0</v>
      </c>
      <c r="R25" s="3">
        <v>1.0</v>
      </c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26</v>
      </c>
      <c r="B26" s="8">
        <v>45658.0</v>
      </c>
      <c r="C26" s="3">
        <v>57696.69</v>
      </c>
      <c r="D26" s="3">
        <v>10218.0</v>
      </c>
      <c r="E26" s="3">
        <v>0.121</v>
      </c>
      <c r="F26" s="3">
        <v>25.0</v>
      </c>
      <c r="G26" s="3">
        <v>94.8</v>
      </c>
      <c r="H26" s="3">
        <v>2.99</v>
      </c>
      <c r="I26" s="3">
        <v>0.0</v>
      </c>
      <c r="J26" s="3">
        <v>3.5</v>
      </c>
      <c r="K26" s="3">
        <v>811771.14</v>
      </c>
      <c r="L26" s="3">
        <v>148756.24</v>
      </c>
      <c r="M26" s="3">
        <v>0.0</v>
      </c>
      <c r="N26" s="3">
        <v>0.0</v>
      </c>
      <c r="O26" s="3">
        <v>1.0</v>
      </c>
      <c r="P26" s="3">
        <v>0.0</v>
      </c>
      <c r="Q26" s="3">
        <v>1.0</v>
      </c>
      <c r="R26" s="3">
        <v>0.0</v>
      </c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 t="s">
        <v>26</v>
      </c>
      <c r="B27" s="8">
        <v>45689.0</v>
      </c>
      <c r="C27" s="3">
        <v>172415.52</v>
      </c>
      <c r="D27" s="3">
        <v>8927.0</v>
      </c>
      <c r="E27" s="3">
        <v>0.14</v>
      </c>
      <c r="F27" s="3">
        <v>22.0</v>
      </c>
      <c r="G27" s="3">
        <v>86.2</v>
      </c>
      <c r="H27" s="3">
        <v>7.04</v>
      </c>
      <c r="I27" s="3">
        <v>0.0</v>
      </c>
      <c r="J27" s="3">
        <v>3.9</v>
      </c>
      <c r="K27" s="3">
        <v>800451.94</v>
      </c>
      <c r="L27" s="3">
        <v>111572.29</v>
      </c>
      <c r="M27" s="3">
        <v>0.0</v>
      </c>
      <c r="N27" s="3">
        <v>0.0</v>
      </c>
      <c r="O27" s="3">
        <v>1.0</v>
      </c>
      <c r="P27" s="3">
        <v>0.0</v>
      </c>
      <c r="Q27" s="3">
        <v>1.0</v>
      </c>
      <c r="R27" s="3">
        <v>0.0</v>
      </c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26</v>
      </c>
      <c r="B28" s="8">
        <v>45717.0</v>
      </c>
      <c r="C28" s="3">
        <v>55270.52</v>
      </c>
      <c r="D28" s="3">
        <v>9315.0</v>
      </c>
      <c r="E28" s="3">
        <v>0.169</v>
      </c>
      <c r="F28" s="3">
        <v>23.0</v>
      </c>
      <c r="G28" s="3">
        <v>91.9</v>
      </c>
      <c r="H28" s="3">
        <v>4.94</v>
      </c>
      <c r="I28" s="3">
        <v>0.0</v>
      </c>
      <c r="J28" s="3">
        <v>4.0</v>
      </c>
      <c r="K28" s="3">
        <v>783672.82</v>
      </c>
      <c r="L28" s="3">
        <v>112577.14</v>
      </c>
      <c r="M28" s="3">
        <v>0.0</v>
      </c>
      <c r="N28" s="3">
        <v>0.0</v>
      </c>
      <c r="O28" s="3">
        <v>1.0</v>
      </c>
      <c r="P28" s="3">
        <v>0.0</v>
      </c>
      <c r="Q28" s="3">
        <v>1.0</v>
      </c>
      <c r="R28" s="3">
        <v>0.0</v>
      </c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 t="s">
        <v>26</v>
      </c>
      <c r="B29" s="8">
        <v>45748.0</v>
      </c>
      <c r="C29" s="3">
        <v>52715.1</v>
      </c>
      <c r="D29" s="3">
        <v>7223.0</v>
      </c>
      <c r="E29" s="3">
        <v>0.122</v>
      </c>
      <c r="F29" s="3">
        <v>16.0</v>
      </c>
      <c r="G29" s="3">
        <v>84.2</v>
      </c>
      <c r="H29" s="3">
        <v>16.15</v>
      </c>
      <c r="I29" s="3">
        <v>0.0</v>
      </c>
      <c r="J29" s="3">
        <v>3.7</v>
      </c>
      <c r="K29" s="3">
        <v>701641.97</v>
      </c>
      <c r="L29" s="3">
        <v>106111.86</v>
      </c>
      <c r="M29" s="3">
        <v>0.0</v>
      </c>
      <c r="N29" s="3">
        <v>0.0</v>
      </c>
      <c r="O29" s="3">
        <v>1.0</v>
      </c>
      <c r="P29" s="3">
        <v>0.0</v>
      </c>
      <c r="Q29" s="3">
        <v>1.0</v>
      </c>
      <c r="R29" s="3">
        <v>0.0</v>
      </c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 t="s">
        <v>29</v>
      </c>
      <c r="B30" s="8">
        <v>45658.0</v>
      </c>
      <c r="C30" s="3">
        <v>68600.62</v>
      </c>
      <c r="D30" s="3">
        <v>3988.0</v>
      </c>
      <c r="E30" s="3">
        <v>0.124</v>
      </c>
      <c r="F30" s="3">
        <v>11.0</v>
      </c>
      <c r="G30" s="3">
        <v>85.0</v>
      </c>
      <c r="H30" s="3">
        <v>0.48</v>
      </c>
      <c r="I30" s="3">
        <v>0.0</v>
      </c>
      <c r="J30" s="3">
        <v>3.6</v>
      </c>
      <c r="K30" s="3">
        <v>511844.41</v>
      </c>
      <c r="L30" s="3">
        <v>72774.44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1.0</v>
      </c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29</v>
      </c>
      <c r="B31" s="8">
        <v>45689.0</v>
      </c>
      <c r="C31" s="3">
        <v>63176.73</v>
      </c>
      <c r="D31" s="3">
        <v>2390.0</v>
      </c>
      <c r="E31" s="3">
        <v>0.216</v>
      </c>
      <c r="F31" s="3">
        <v>9.0</v>
      </c>
      <c r="G31" s="3">
        <v>87.5</v>
      </c>
      <c r="H31" s="3">
        <v>0.31</v>
      </c>
      <c r="I31" s="3">
        <v>0.0</v>
      </c>
      <c r="J31" s="3">
        <v>3.1</v>
      </c>
      <c r="K31" s="3">
        <v>537383.79</v>
      </c>
      <c r="L31" s="3">
        <v>63773.27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1.0</v>
      </c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29</v>
      </c>
      <c r="B32" s="8">
        <v>45717.0</v>
      </c>
      <c r="C32" s="3">
        <v>44970.08</v>
      </c>
      <c r="D32" s="3">
        <v>2471.0</v>
      </c>
      <c r="E32" s="3">
        <v>0.136</v>
      </c>
      <c r="F32" s="3">
        <v>11.0</v>
      </c>
      <c r="G32" s="3">
        <v>87.6</v>
      </c>
      <c r="H32" s="3">
        <v>3.01</v>
      </c>
      <c r="I32" s="3">
        <v>1.0</v>
      </c>
      <c r="J32" s="3">
        <v>3.7</v>
      </c>
      <c r="K32" s="3">
        <v>500173.02</v>
      </c>
      <c r="L32" s="3">
        <v>70982.05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1.0</v>
      </c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29</v>
      </c>
      <c r="B33" s="8">
        <v>45748.0</v>
      </c>
      <c r="C33" s="3">
        <v>69816.35</v>
      </c>
      <c r="D33" s="3">
        <v>971.0</v>
      </c>
      <c r="E33" s="3">
        <v>0.168</v>
      </c>
      <c r="F33" s="3">
        <v>5.0</v>
      </c>
      <c r="G33" s="3">
        <v>89.9</v>
      </c>
      <c r="H33" s="3">
        <v>12.15</v>
      </c>
      <c r="I33" s="3">
        <v>0.0</v>
      </c>
      <c r="J33" s="3">
        <v>3.6</v>
      </c>
      <c r="K33" s="3">
        <v>427917.38</v>
      </c>
      <c r="L33" s="3">
        <v>81824.31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1.0</v>
      </c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30</v>
      </c>
      <c r="B34" s="8">
        <v>45658.0</v>
      </c>
      <c r="C34" s="3">
        <v>54597.83</v>
      </c>
      <c r="D34" s="3">
        <v>9429.0</v>
      </c>
      <c r="E34" s="3">
        <v>0.188</v>
      </c>
      <c r="F34" s="3">
        <v>21.0</v>
      </c>
      <c r="G34" s="3">
        <v>83.3</v>
      </c>
      <c r="H34" s="3">
        <v>11.71</v>
      </c>
      <c r="I34" s="3">
        <v>0.0</v>
      </c>
      <c r="J34" s="3">
        <v>4.2</v>
      </c>
      <c r="K34" s="3">
        <v>641865.03</v>
      </c>
      <c r="L34" s="3">
        <v>81342.58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1.0</v>
      </c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30</v>
      </c>
      <c r="B35" s="8">
        <v>45689.0</v>
      </c>
      <c r="C35" s="3">
        <v>73771.91</v>
      </c>
      <c r="D35" s="3">
        <v>11695.0</v>
      </c>
      <c r="E35" s="3">
        <v>0.07</v>
      </c>
      <c r="F35" s="3">
        <v>25.0</v>
      </c>
      <c r="G35" s="3">
        <v>84.7</v>
      </c>
      <c r="H35" s="3">
        <v>0.62</v>
      </c>
      <c r="I35" s="3">
        <v>0.0</v>
      </c>
      <c r="J35" s="3">
        <v>3.9</v>
      </c>
      <c r="K35" s="3">
        <v>799477.76</v>
      </c>
      <c r="L35" s="3">
        <v>164974.41</v>
      </c>
      <c r="M35" s="3">
        <v>1.0</v>
      </c>
      <c r="N35" s="3">
        <v>0.0</v>
      </c>
      <c r="O35" s="3">
        <v>0.0</v>
      </c>
      <c r="P35" s="3">
        <v>0.0</v>
      </c>
      <c r="Q35" s="3">
        <v>0.0</v>
      </c>
      <c r="R35" s="3">
        <v>1.0</v>
      </c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30</v>
      </c>
      <c r="B36" s="8">
        <v>45717.0</v>
      </c>
      <c r="C36" s="3">
        <v>74413.88</v>
      </c>
      <c r="D36" s="3">
        <v>9449.0</v>
      </c>
      <c r="E36" s="3">
        <v>0.039</v>
      </c>
      <c r="F36" s="3">
        <v>23.0</v>
      </c>
      <c r="G36" s="3">
        <v>92.1</v>
      </c>
      <c r="H36" s="3">
        <v>2.12</v>
      </c>
      <c r="I36" s="3">
        <v>0.0</v>
      </c>
      <c r="J36" s="3">
        <v>3.5</v>
      </c>
      <c r="K36" s="3">
        <v>798952.17</v>
      </c>
      <c r="L36" s="3">
        <v>161499.04</v>
      </c>
      <c r="M36" s="3">
        <v>1.0</v>
      </c>
      <c r="N36" s="3">
        <v>0.0</v>
      </c>
      <c r="O36" s="3">
        <v>0.0</v>
      </c>
      <c r="P36" s="3">
        <v>0.0</v>
      </c>
      <c r="Q36" s="3">
        <v>0.0</v>
      </c>
      <c r="R36" s="3">
        <v>1.0</v>
      </c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30</v>
      </c>
      <c r="B37" s="8">
        <v>45748.0</v>
      </c>
      <c r="C37" s="3">
        <v>52483.77</v>
      </c>
      <c r="D37" s="3">
        <v>10453.0</v>
      </c>
      <c r="E37" s="3">
        <v>0.247</v>
      </c>
      <c r="F37" s="3">
        <v>25.0</v>
      </c>
      <c r="G37" s="3">
        <v>99.0</v>
      </c>
      <c r="H37" s="3">
        <v>6.31</v>
      </c>
      <c r="I37" s="3">
        <v>0.0</v>
      </c>
      <c r="J37" s="3">
        <v>3.6</v>
      </c>
      <c r="K37" s="3">
        <v>800979.78</v>
      </c>
      <c r="L37" s="3">
        <v>149242.27</v>
      </c>
      <c r="M37" s="3">
        <v>1.0</v>
      </c>
      <c r="N37" s="3">
        <v>0.0</v>
      </c>
      <c r="O37" s="3">
        <v>0.0</v>
      </c>
      <c r="P37" s="3">
        <v>0.0</v>
      </c>
      <c r="Q37" s="3">
        <v>0.0</v>
      </c>
      <c r="R37" s="3">
        <v>1.0</v>
      </c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31</v>
      </c>
      <c r="B38" s="8">
        <v>45658.0</v>
      </c>
      <c r="C38" s="3">
        <v>75269.87</v>
      </c>
      <c r="D38" s="3">
        <v>8838.0</v>
      </c>
      <c r="E38" s="3">
        <v>0.092</v>
      </c>
      <c r="F38" s="3">
        <v>21.0</v>
      </c>
      <c r="G38" s="3">
        <v>83.1</v>
      </c>
      <c r="H38" s="3">
        <v>9.56</v>
      </c>
      <c r="I38" s="3">
        <v>1.0</v>
      </c>
      <c r="J38" s="3">
        <v>4.2</v>
      </c>
      <c r="K38" s="3">
        <v>820593.93</v>
      </c>
      <c r="L38" s="3">
        <v>115860.06</v>
      </c>
      <c r="M38" s="3">
        <v>1.0</v>
      </c>
      <c r="N38" s="3">
        <v>0.0</v>
      </c>
      <c r="O38" s="3">
        <v>0.0</v>
      </c>
      <c r="P38" s="3">
        <v>0.0</v>
      </c>
      <c r="Q38" s="3">
        <v>1.0</v>
      </c>
      <c r="R38" s="3">
        <v>0.0</v>
      </c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31</v>
      </c>
      <c r="B39" s="8">
        <v>45689.0</v>
      </c>
      <c r="C39" s="3">
        <v>61245.41</v>
      </c>
      <c r="D39" s="3">
        <v>8156.0</v>
      </c>
      <c r="E39" s="3">
        <v>0.156</v>
      </c>
      <c r="F39" s="3">
        <v>19.0</v>
      </c>
      <c r="G39" s="3">
        <v>92.9</v>
      </c>
      <c r="H39" s="3">
        <v>9.05</v>
      </c>
      <c r="I39" s="3">
        <v>0.0</v>
      </c>
      <c r="J39" s="3">
        <v>3.8</v>
      </c>
      <c r="K39" s="3">
        <v>718330.53</v>
      </c>
      <c r="L39" s="3">
        <v>93247.9</v>
      </c>
      <c r="M39" s="3">
        <v>1.0</v>
      </c>
      <c r="N39" s="3">
        <v>0.0</v>
      </c>
      <c r="O39" s="3">
        <v>0.0</v>
      </c>
      <c r="P39" s="3">
        <v>0.0</v>
      </c>
      <c r="Q39" s="3">
        <v>1.0</v>
      </c>
      <c r="R39" s="3">
        <v>0.0</v>
      </c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31</v>
      </c>
      <c r="B40" s="8">
        <v>45717.0</v>
      </c>
      <c r="C40" s="3">
        <v>93381.26</v>
      </c>
      <c r="D40" s="3">
        <v>7562.0</v>
      </c>
      <c r="E40" s="3">
        <v>0.198</v>
      </c>
      <c r="F40" s="3">
        <v>19.0</v>
      </c>
      <c r="G40" s="3">
        <v>82.9</v>
      </c>
      <c r="H40" s="3">
        <v>5.05</v>
      </c>
      <c r="I40" s="3">
        <v>0.0</v>
      </c>
      <c r="J40" s="3">
        <v>4.0</v>
      </c>
      <c r="K40" s="3">
        <v>736633.4</v>
      </c>
      <c r="L40" s="3">
        <v>115654.66</v>
      </c>
      <c r="M40" s="3">
        <v>1.0</v>
      </c>
      <c r="N40" s="3">
        <v>0.0</v>
      </c>
      <c r="O40" s="3">
        <v>0.0</v>
      </c>
      <c r="P40" s="3">
        <v>0.0</v>
      </c>
      <c r="Q40" s="3">
        <v>1.0</v>
      </c>
      <c r="R40" s="3">
        <v>0.0</v>
      </c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31</v>
      </c>
      <c r="B41" s="8">
        <v>45748.0</v>
      </c>
      <c r="C41" s="3">
        <v>65012.19</v>
      </c>
      <c r="D41" s="3">
        <v>9598.0</v>
      </c>
      <c r="E41" s="3">
        <v>0.085</v>
      </c>
      <c r="F41" s="3">
        <v>24.0</v>
      </c>
      <c r="G41" s="3">
        <v>98.3</v>
      </c>
      <c r="H41" s="3">
        <v>0.89</v>
      </c>
      <c r="I41" s="3">
        <v>0.0</v>
      </c>
      <c r="J41" s="3">
        <v>3.8</v>
      </c>
      <c r="K41" s="3">
        <v>828623.85</v>
      </c>
      <c r="L41" s="3">
        <v>167320.52</v>
      </c>
      <c r="M41" s="3">
        <v>1.0</v>
      </c>
      <c r="N41" s="3">
        <v>0.0</v>
      </c>
      <c r="O41" s="3">
        <v>0.0</v>
      </c>
      <c r="P41" s="3">
        <v>0.0</v>
      </c>
      <c r="Q41" s="3">
        <v>1.0</v>
      </c>
      <c r="R41" s="3">
        <v>0.0</v>
      </c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32</v>
      </c>
      <c r="B42" s="8">
        <v>45658.0</v>
      </c>
      <c r="C42" s="3">
        <v>40462.94</v>
      </c>
      <c r="D42" s="3">
        <v>3660.0</v>
      </c>
      <c r="E42" s="3">
        <v>0.218</v>
      </c>
      <c r="F42" s="3">
        <v>11.0</v>
      </c>
      <c r="G42" s="3">
        <v>95.2</v>
      </c>
      <c r="H42" s="3">
        <v>5.57</v>
      </c>
      <c r="I42" s="3">
        <v>0.0</v>
      </c>
      <c r="J42" s="3">
        <v>4.4</v>
      </c>
      <c r="K42" s="3">
        <v>592195.85</v>
      </c>
      <c r="L42" s="3">
        <v>92291.56</v>
      </c>
      <c r="M42" s="3">
        <v>0.0</v>
      </c>
      <c r="N42" s="3">
        <v>0.0</v>
      </c>
      <c r="O42" s="3">
        <v>0.0</v>
      </c>
      <c r="P42" s="3">
        <v>0.0</v>
      </c>
      <c r="Q42" s="3">
        <v>1.0</v>
      </c>
      <c r="R42" s="3">
        <v>0.0</v>
      </c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 t="s">
        <v>32</v>
      </c>
      <c r="B43" s="8">
        <v>45689.0</v>
      </c>
      <c r="C43" s="3">
        <v>46123.88</v>
      </c>
      <c r="D43" s="3">
        <v>3227.0</v>
      </c>
      <c r="E43" s="3">
        <v>0.143</v>
      </c>
      <c r="F43" s="3">
        <v>10.0</v>
      </c>
      <c r="G43" s="3">
        <v>75.4</v>
      </c>
      <c r="H43" s="3">
        <v>1.06</v>
      </c>
      <c r="I43" s="3">
        <v>0.0</v>
      </c>
      <c r="J43" s="3">
        <v>4.4</v>
      </c>
      <c r="K43" s="3">
        <v>532644.46</v>
      </c>
      <c r="L43" s="3">
        <v>60681.32</v>
      </c>
      <c r="M43" s="3">
        <v>0.0</v>
      </c>
      <c r="N43" s="3">
        <v>0.0</v>
      </c>
      <c r="O43" s="3">
        <v>0.0</v>
      </c>
      <c r="P43" s="3">
        <v>0.0</v>
      </c>
      <c r="Q43" s="3">
        <v>1.0</v>
      </c>
      <c r="R43" s="3">
        <v>0.0</v>
      </c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 t="s">
        <v>32</v>
      </c>
      <c r="B44" s="8">
        <v>45717.0</v>
      </c>
      <c r="C44" s="3">
        <v>68077.54</v>
      </c>
      <c r="D44" s="3">
        <v>3360.0</v>
      </c>
      <c r="E44" s="3">
        <v>0.128</v>
      </c>
      <c r="F44" s="3">
        <v>14.0</v>
      </c>
      <c r="G44" s="3">
        <v>88.2</v>
      </c>
      <c r="H44" s="3">
        <v>1.24</v>
      </c>
      <c r="I44" s="3">
        <v>1.0</v>
      </c>
      <c r="J44" s="3">
        <v>4.0</v>
      </c>
      <c r="K44" s="3">
        <v>657429.18</v>
      </c>
      <c r="L44" s="3">
        <v>88919.74</v>
      </c>
      <c r="M44" s="3">
        <v>0.0</v>
      </c>
      <c r="N44" s="3">
        <v>0.0</v>
      </c>
      <c r="O44" s="3">
        <v>0.0</v>
      </c>
      <c r="P44" s="3">
        <v>0.0</v>
      </c>
      <c r="Q44" s="3">
        <v>1.0</v>
      </c>
      <c r="R44" s="3">
        <v>0.0</v>
      </c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 t="s">
        <v>32</v>
      </c>
      <c r="B45" s="8">
        <v>45748.0</v>
      </c>
      <c r="C45" s="3">
        <v>64882.14</v>
      </c>
      <c r="D45" s="3">
        <v>3642.0</v>
      </c>
      <c r="E45" s="3">
        <v>0.019</v>
      </c>
      <c r="F45" s="3">
        <v>13.0</v>
      </c>
      <c r="G45" s="3">
        <v>87.8</v>
      </c>
      <c r="H45" s="3">
        <v>4.52</v>
      </c>
      <c r="I45" s="3">
        <v>0.0</v>
      </c>
      <c r="J45" s="3">
        <v>4.2</v>
      </c>
      <c r="K45" s="3">
        <v>605178.0</v>
      </c>
      <c r="L45" s="3">
        <v>106958.74</v>
      </c>
      <c r="M45" s="3">
        <v>0.0</v>
      </c>
      <c r="N45" s="3">
        <v>0.0</v>
      </c>
      <c r="O45" s="3">
        <v>0.0</v>
      </c>
      <c r="P45" s="3">
        <v>0.0</v>
      </c>
      <c r="Q45" s="3">
        <v>1.0</v>
      </c>
      <c r="R45" s="3">
        <v>0.0</v>
      </c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 t="s">
        <v>33</v>
      </c>
      <c r="B46" s="8">
        <v>45658.0</v>
      </c>
      <c r="C46" s="3">
        <v>138855.51</v>
      </c>
      <c r="D46" s="3">
        <v>5145.0</v>
      </c>
      <c r="E46" s="3">
        <v>0.06</v>
      </c>
      <c r="F46" s="3">
        <v>17.0</v>
      </c>
      <c r="G46" s="3">
        <v>88.2</v>
      </c>
      <c r="H46" s="3">
        <v>9.58</v>
      </c>
      <c r="I46" s="3">
        <v>0.0</v>
      </c>
      <c r="J46" s="3">
        <v>3.2</v>
      </c>
      <c r="K46" s="3">
        <v>595467.6</v>
      </c>
      <c r="L46" s="3">
        <v>104276.46</v>
      </c>
      <c r="M46" s="3">
        <v>0.0</v>
      </c>
      <c r="N46" s="3">
        <v>0.0</v>
      </c>
      <c r="O46" s="3">
        <v>1.0</v>
      </c>
      <c r="P46" s="3">
        <v>0.0</v>
      </c>
      <c r="Q46" s="3">
        <v>0.0</v>
      </c>
      <c r="R46" s="3">
        <v>1.0</v>
      </c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 t="s">
        <v>33</v>
      </c>
      <c r="B47" s="8">
        <v>45689.0</v>
      </c>
      <c r="C47" s="3">
        <v>63630.21</v>
      </c>
      <c r="D47" s="3">
        <v>4460.0</v>
      </c>
      <c r="E47" s="3">
        <v>0.235</v>
      </c>
      <c r="F47" s="3">
        <v>14.0</v>
      </c>
      <c r="G47" s="3">
        <v>98.6</v>
      </c>
      <c r="H47" s="3">
        <v>5.52</v>
      </c>
      <c r="I47" s="3">
        <v>0.0</v>
      </c>
      <c r="J47" s="3">
        <v>3.5</v>
      </c>
      <c r="K47" s="3">
        <v>599603.4</v>
      </c>
      <c r="L47" s="3">
        <v>112685.12</v>
      </c>
      <c r="M47" s="3">
        <v>0.0</v>
      </c>
      <c r="N47" s="3">
        <v>0.0</v>
      </c>
      <c r="O47" s="3">
        <v>1.0</v>
      </c>
      <c r="P47" s="3">
        <v>0.0</v>
      </c>
      <c r="Q47" s="3">
        <v>0.0</v>
      </c>
      <c r="R47" s="3">
        <v>1.0</v>
      </c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 t="s">
        <v>33</v>
      </c>
      <c r="B48" s="8">
        <v>45717.0</v>
      </c>
      <c r="C48" s="3">
        <v>50043.65</v>
      </c>
      <c r="D48" s="3">
        <v>3804.0</v>
      </c>
      <c r="E48" s="3">
        <v>0.113</v>
      </c>
      <c r="F48" s="3">
        <v>11.0</v>
      </c>
      <c r="G48" s="3">
        <v>90.9</v>
      </c>
      <c r="H48" s="3">
        <v>2.7</v>
      </c>
      <c r="I48" s="3">
        <v>1.0</v>
      </c>
      <c r="J48" s="3">
        <v>3.2</v>
      </c>
      <c r="K48" s="3">
        <v>614800.09</v>
      </c>
      <c r="L48" s="3">
        <v>100044.2</v>
      </c>
      <c r="M48" s="3">
        <v>0.0</v>
      </c>
      <c r="N48" s="3">
        <v>0.0</v>
      </c>
      <c r="O48" s="3">
        <v>1.0</v>
      </c>
      <c r="P48" s="3">
        <v>0.0</v>
      </c>
      <c r="Q48" s="3">
        <v>0.0</v>
      </c>
      <c r="R48" s="3">
        <v>1.0</v>
      </c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 t="s">
        <v>33</v>
      </c>
      <c r="B49" s="8">
        <v>45748.0</v>
      </c>
      <c r="C49" s="3">
        <v>42093.84</v>
      </c>
      <c r="D49" s="3">
        <v>4074.0</v>
      </c>
      <c r="E49" s="3">
        <v>0.155</v>
      </c>
      <c r="F49" s="3">
        <v>15.0</v>
      </c>
      <c r="G49" s="3">
        <v>88.0</v>
      </c>
      <c r="H49" s="3">
        <v>9.64</v>
      </c>
      <c r="I49" s="3">
        <v>0.0</v>
      </c>
      <c r="J49" s="3">
        <v>3.3</v>
      </c>
      <c r="K49" s="3">
        <v>585365.73</v>
      </c>
      <c r="L49" s="3">
        <v>81011.52</v>
      </c>
      <c r="M49" s="3">
        <v>0.0</v>
      </c>
      <c r="N49" s="3">
        <v>0.0</v>
      </c>
      <c r="O49" s="3">
        <v>1.0</v>
      </c>
      <c r="P49" s="3">
        <v>0.0</v>
      </c>
      <c r="Q49" s="3">
        <v>0.0</v>
      </c>
      <c r="R49" s="3">
        <v>1.0</v>
      </c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 t="s">
        <v>34</v>
      </c>
      <c r="B50" s="8">
        <v>45658.0</v>
      </c>
      <c r="C50" s="3">
        <v>46624.05</v>
      </c>
      <c r="D50" s="3">
        <v>5104.0</v>
      </c>
      <c r="E50" s="3">
        <v>0.109</v>
      </c>
      <c r="F50" s="3">
        <v>11.0</v>
      </c>
      <c r="G50" s="3">
        <v>97.3</v>
      </c>
      <c r="H50" s="3">
        <v>3.49</v>
      </c>
      <c r="I50" s="3">
        <v>1.0</v>
      </c>
      <c r="J50" s="3">
        <v>4.7</v>
      </c>
      <c r="K50" s="3">
        <v>622811.74</v>
      </c>
      <c r="L50" s="3">
        <v>109978.35</v>
      </c>
      <c r="M50" s="3">
        <v>1.0</v>
      </c>
      <c r="N50" s="3">
        <v>0.0</v>
      </c>
      <c r="O50" s="3">
        <v>0.0</v>
      </c>
      <c r="P50" s="3">
        <v>0.0</v>
      </c>
      <c r="Q50" s="3">
        <v>1.0</v>
      </c>
      <c r="R50" s="3">
        <v>0.0</v>
      </c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 t="s">
        <v>34</v>
      </c>
      <c r="B51" s="8">
        <v>45689.0</v>
      </c>
      <c r="C51" s="3">
        <v>49710.29</v>
      </c>
      <c r="D51" s="3">
        <v>5559.0</v>
      </c>
      <c r="E51" s="3">
        <v>0.218</v>
      </c>
      <c r="F51" s="3">
        <v>14.0</v>
      </c>
      <c r="G51" s="3">
        <v>71.0</v>
      </c>
      <c r="H51" s="3">
        <v>9.11</v>
      </c>
      <c r="I51" s="3">
        <v>0.0</v>
      </c>
      <c r="J51" s="3">
        <v>4.6</v>
      </c>
      <c r="K51" s="3">
        <v>603297.57</v>
      </c>
      <c r="L51" s="3">
        <v>60592.26</v>
      </c>
      <c r="M51" s="3">
        <v>1.0</v>
      </c>
      <c r="N51" s="3">
        <v>0.0</v>
      </c>
      <c r="O51" s="3">
        <v>0.0</v>
      </c>
      <c r="P51" s="3">
        <v>0.0</v>
      </c>
      <c r="Q51" s="3">
        <v>1.0</v>
      </c>
      <c r="R51" s="3">
        <v>0.0</v>
      </c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 t="s">
        <v>34</v>
      </c>
      <c r="B52" s="8">
        <v>45717.0</v>
      </c>
      <c r="C52" s="3">
        <v>48287.85</v>
      </c>
      <c r="D52" s="3">
        <v>5150.0</v>
      </c>
      <c r="E52" s="3">
        <v>0.008</v>
      </c>
      <c r="F52" s="3">
        <v>12.0</v>
      </c>
      <c r="G52" s="3">
        <v>80.4</v>
      </c>
      <c r="H52" s="3">
        <v>7.4</v>
      </c>
      <c r="I52" s="3">
        <v>0.0</v>
      </c>
      <c r="J52" s="3">
        <v>4.5</v>
      </c>
      <c r="K52" s="3">
        <v>625672.86</v>
      </c>
      <c r="L52" s="3">
        <v>118020.12</v>
      </c>
      <c r="M52" s="3">
        <v>1.0</v>
      </c>
      <c r="N52" s="3">
        <v>0.0</v>
      </c>
      <c r="O52" s="3">
        <v>0.0</v>
      </c>
      <c r="P52" s="3">
        <v>0.0</v>
      </c>
      <c r="Q52" s="3">
        <v>1.0</v>
      </c>
      <c r="R52" s="3">
        <v>0.0</v>
      </c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 t="s">
        <v>34</v>
      </c>
      <c r="B53" s="8">
        <v>45748.0</v>
      </c>
      <c r="C53" s="3">
        <v>65312.49</v>
      </c>
      <c r="D53" s="3">
        <v>7189.0</v>
      </c>
      <c r="E53" s="3">
        <v>0.05</v>
      </c>
      <c r="F53" s="3">
        <v>19.0</v>
      </c>
      <c r="G53" s="3">
        <v>93.7</v>
      </c>
      <c r="H53" s="3">
        <v>7.16</v>
      </c>
      <c r="I53" s="3">
        <v>0.0</v>
      </c>
      <c r="J53" s="3">
        <v>4.6</v>
      </c>
      <c r="K53" s="3">
        <v>773815.14</v>
      </c>
      <c r="L53" s="3">
        <v>133948.39</v>
      </c>
      <c r="M53" s="3">
        <v>1.0</v>
      </c>
      <c r="N53" s="3">
        <v>0.0</v>
      </c>
      <c r="O53" s="3">
        <v>0.0</v>
      </c>
      <c r="P53" s="3">
        <v>0.0</v>
      </c>
      <c r="Q53" s="3">
        <v>1.0</v>
      </c>
      <c r="R53" s="3">
        <v>0.0</v>
      </c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 t="s">
        <v>35</v>
      </c>
      <c r="B54" s="8">
        <v>45658.0</v>
      </c>
      <c r="C54" s="3">
        <v>53015.46</v>
      </c>
      <c r="D54" s="3">
        <v>3279.0</v>
      </c>
      <c r="E54" s="3">
        <v>0.087</v>
      </c>
      <c r="F54" s="3">
        <v>9.0</v>
      </c>
      <c r="G54" s="3">
        <v>84.3</v>
      </c>
      <c r="H54" s="3">
        <v>22.02</v>
      </c>
      <c r="I54" s="3">
        <v>0.0</v>
      </c>
      <c r="J54" s="3">
        <v>3.9</v>
      </c>
      <c r="K54" s="3">
        <v>463534.25</v>
      </c>
      <c r="L54" s="3">
        <v>81834.54</v>
      </c>
      <c r="M54" s="3">
        <v>0.0</v>
      </c>
      <c r="N54" s="3">
        <v>0.0</v>
      </c>
      <c r="O54" s="3">
        <v>1.0</v>
      </c>
      <c r="P54" s="3">
        <v>1.0</v>
      </c>
      <c r="Q54" s="3">
        <v>0.0</v>
      </c>
      <c r="R54" s="3">
        <v>0.0</v>
      </c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 t="s">
        <v>35</v>
      </c>
      <c r="B55" s="8">
        <v>45689.0</v>
      </c>
      <c r="C55" s="3">
        <v>99874.01</v>
      </c>
      <c r="D55" s="3">
        <v>5887.0</v>
      </c>
      <c r="E55" s="3">
        <v>0.262</v>
      </c>
      <c r="F55" s="3">
        <v>14.0</v>
      </c>
      <c r="G55" s="3">
        <v>88.7</v>
      </c>
      <c r="H55" s="3">
        <v>6.18</v>
      </c>
      <c r="I55" s="3">
        <v>0.0</v>
      </c>
      <c r="J55" s="3">
        <v>4.7</v>
      </c>
      <c r="K55" s="3">
        <v>746677.75</v>
      </c>
      <c r="L55" s="3">
        <v>122437.84</v>
      </c>
      <c r="M55" s="3">
        <v>0.0</v>
      </c>
      <c r="N55" s="3">
        <v>0.0</v>
      </c>
      <c r="O55" s="3">
        <v>1.0</v>
      </c>
      <c r="P55" s="3">
        <v>1.0</v>
      </c>
      <c r="Q55" s="3">
        <v>0.0</v>
      </c>
      <c r="R55" s="3">
        <v>0.0</v>
      </c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 t="s">
        <v>35</v>
      </c>
      <c r="B56" s="8">
        <v>45717.0</v>
      </c>
      <c r="C56" s="3">
        <v>81195.5</v>
      </c>
      <c r="D56" s="3">
        <v>5516.0</v>
      </c>
      <c r="E56" s="3">
        <v>0.106</v>
      </c>
      <c r="F56" s="3">
        <v>14.0</v>
      </c>
      <c r="G56" s="3">
        <v>88.0</v>
      </c>
      <c r="H56" s="3">
        <v>1.76</v>
      </c>
      <c r="I56" s="3">
        <v>0.0</v>
      </c>
      <c r="J56" s="3">
        <v>4.3</v>
      </c>
      <c r="K56" s="3">
        <v>720852.5</v>
      </c>
      <c r="L56" s="3">
        <v>98565.62</v>
      </c>
      <c r="M56" s="3">
        <v>0.0</v>
      </c>
      <c r="N56" s="3">
        <v>0.0</v>
      </c>
      <c r="O56" s="3">
        <v>1.0</v>
      </c>
      <c r="P56" s="3">
        <v>1.0</v>
      </c>
      <c r="Q56" s="3">
        <v>0.0</v>
      </c>
      <c r="R56" s="3">
        <v>0.0</v>
      </c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 t="s">
        <v>35</v>
      </c>
      <c r="B57" s="8">
        <v>45748.0</v>
      </c>
      <c r="C57" s="3">
        <v>27808.6</v>
      </c>
      <c r="D57" s="3">
        <v>2863.0</v>
      </c>
      <c r="E57" s="3">
        <v>0.08</v>
      </c>
      <c r="F57" s="3">
        <v>13.0</v>
      </c>
      <c r="G57" s="3">
        <v>89.3</v>
      </c>
      <c r="H57" s="3">
        <v>0.47</v>
      </c>
      <c r="I57" s="3">
        <v>0.0</v>
      </c>
      <c r="J57" s="3">
        <v>4.1</v>
      </c>
      <c r="K57" s="3">
        <v>487464.91</v>
      </c>
      <c r="L57" s="3">
        <v>64562.26</v>
      </c>
      <c r="M57" s="3">
        <v>0.0</v>
      </c>
      <c r="N57" s="3">
        <v>0.0</v>
      </c>
      <c r="O57" s="3">
        <v>1.0</v>
      </c>
      <c r="P57" s="3">
        <v>1.0</v>
      </c>
      <c r="Q57" s="3">
        <v>0.0</v>
      </c>
      <c r="R57" s="3">
        <v>0.0</v>
      </c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 t="s">
        <v>36</v>
      </c>
      <c r="B58" s="8">
        <v>45658.0</v>
      </c>
      <c r="C58" s="3">
        <v>19365.06</v>
      </c>
      <c r="D58" s="3">
        <v>2378.0</v>
      </c>
      <c r="E58" s="3">
        <v>0.0</v>
      </c>
      <c r="F58" s="3">
        <v>12.0</v>
      </c>
      <c r="G58" s="3">
        <v>94.8</v>
      </c>
      <c r="H58" s="3">
        <v>0.2</v>
      </c>
      <c r="I58" s="3">
        <v>0.0</v>
      </c>
      <c r="J58" s="3">
        <v>3.5</v>
      </c>
      <c r="K58" s="3">
        <v>518049.26</v>
      </c>
      <c r="L58" s="3">
        <v>108592.49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 t="s">
        <v>36</v>
      </c>
      <c r="B59" s="8">
        <v>45689.0</v>
      </c>
      <c r="C59" s="3">
        <v>59405.68</v>
      </c>
      <c r="D59" s="3">
        <v>2515.0</v>
      </c>
      <c r="E59" s="3">
        <v>0.039</v>
      </c>
      <c r="F59" s="3">
        <v>12.0</v>
      </c>
      <c r="G59" s="3">
        <v>76.0</v>
      </c>
      <c r="H59" s="3">
        <v>5.11</v>
      </c>
      <c r="I59" s="3">
        <v>0.0</v>
      </c>
      <c r="J59" s="3">
        <v>3.7</v>
      </c>
      <c r="K59" s="3">
        <v>500298.48</v>
      </c>
      <c r="L59" s="3">
        <v>73461.32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 t="s">
        <v>36</v>
      </c>
      <c r="B60" s="8">
        <v>45717.0</v>
      </c>
      <c r="C60" s="3">
        <v>118910.48</v>
      </c>
      <c r="D60" s="3">
        <v>4022.0</v>
      </c>
      <c r="E60" s="3">
        <v>0.137</v>
      </c>
      <c r="F60" s="3">
        <v>11.0</v>
      </c>
      <c r="G60" s="3">
        <v>87.1</v>
      </c>
      <c r="H60" s="3">
        <v>0.2</v>
      </c>
      <c r="I60" s="3">
        <v>0.0</v>
      </c>
      <c r="J60" s="3">
        <v>3.1</v>
      </c>
      <c r="K60" s="3">
        <v>617291.15</v>
      </c>
      <c r="L60" s="3">
        <v>117782.0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 t="s">
        <v>36</v>
      </c>
      <c r="B61" s="8">
        <v>45748.0</v>
      </c>
      <c r="C61" s="3">
        <v>52952.12</v>
      </c>
      <c r="D61" s="3">
        <v>4377.0</v>
      </c>
      <c r="E61" s="3">
        <v>0.092</v>
      </c>
      <c r="F61" s="3">
        <v>14.0</v>
      </c>
      <c r="G61" s="3">
        <v>88.6</v>
      </c>
      <c r="H61" s="3">
        <v>13.59</v>
      </c>
      <c r="I61" s="3">
        <v>0.0</v>
      </c>
      <c r="J61" s="3">
        <v>3.1</v>
      </c>
      <c r="K61" s="3">
        <v>553756.43</v>
      </c>
      <c r="L61" s="3">
        <v>86166.77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 t="s">
        <v>37</v>
      </c>
      <c r="B62" s="8">
        <v>45658.0</v>
      </c>
      <c r="C62" s="3">
        <v>74907.98</v>
      </c>
      <c r="D62" s="3">
        <v>5306.0</v>
      </c>
      <c r="E62" s="3">
        <v>0.062</v>
      </c>
      <c r="F62" s="3">
        <v>16.0</v>
      </c>
      <c r="G62" s="3">
        <v>95.6</v>
      </c>
      <c r="H62" s="3">
        <v>1.02</v>
      </c>
      <c r="I62" s="3">
        <v>0.0</v>
      </c>
      <c r="J62" s="3">
        <v>3.7</v>
      </c>
      <c r="K62" s="3">
        <v>749559.71</v>
      </c>
      <c r="L62" s="3">
        <v>144522.53</v>
      </c>
      <c r="M62" s="3">
        <v>0.0</v>
      </c>
      <c r="N62" s="3">
        <v>1.0</v>
      </c>
      <c r="O62" s="3">
        <v>0.0</v>
      </c>
      <c r="P62" s="3">
        <v>1.0</v>
      </c>
      <c r="Q62" s="3">
        <v>0.0</v>
      </c>
      <c r="R62" s="3">
        <v>0.0</v>
      </c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 t="s">
        <v>37</v>
      </c>
      <c r="B63" s="8">
        <v>45689.0</v>
      </c>
      <c r="C63" s="3">
        <v>37284.66</v>
      </c>
      <c r="D63" s="3">
        <v>3928.0</v>
      </c>
      <c r="E63" s="3">
        <v>0.074</v>
      </c>
      <c r="F63" s="3">
        <v>12.0</v>
      </c>
      <c r="G63" s="3">
        <v>86.5</v>
      </c>
      <c r="H63" s="3">
        <v>1.64</v>
      </c>
      <c r="I63" s="3">
        <v>0.0</v>
      </c>
      <c r="J63" s="3">
        <v>3.8</v>
      </c>
      <c r="K63" s="3">
        <v>615966.48</v>
      </c>
      <c r="L63" s="3">
        <v>91509.38</v>
      </c>
      <c r="M63" s="3">
        <v>0.0</v>
      </c>
      <c r="N63" s="3">
        <v>1.0</v>
      </c>
      <c r="O63" s="3">
        <v>0.0</v>
      </c>
      <c r="P63" s="3">
        <v>1.0</v>
      </c>
      <c r="Q63" s="3">
        <v>0.0</v>
      </c>
      <c r="R63" s="3">
        <v>0.0</v>
      </c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 t="s">
        <v>37</v>
      </c>
      <c r="B64" s="8">
        <v>45717.0</v>
      </c>
      <c r="C64" s="3">
        <v>50343.19</v>
      </c>
      <c r="D64" s="3">
        <v>3845.0</v>
      </c>
      <c r="E64" s="3">
        <v>0.113</v>
      </c>
      <c r="F64" s="3">
        <v>9.0</v>
      </c>
      <c r="G64" s="3">
        <v>88.7</v>
      </c>
      <c r="H64" s="3">
        <v>5.15</v>
      </c>
      <c r="I64" s="3">
        <v>0.0</v>
      </c>
      <c r="J64" s="3">
        <v>3.3</v>
      </c>
      <c r="K64" s="3">
        <v>572011.2</v>
      </c>
      <c r="L64" s="3">
        <v>101409.68</v>
      </c>
      <c r="M64" s="3">
        <v>0.0</v>
      </c>
      <c r="N64" s="3">
        <v>1.0</v>
      </c>
      <c r="O64" s="3">
        <v>0.0</v>
      </c>
      <c r="P64" s="3">
        <v>1.0</v>
      </c>
      <c r="Q64" s="3">
        <v>0.0</v>
      </c>
      <c r="R64" s="3">
        <v>0.0</v>
      </c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 t="s">
        <v>37</v>
      </c>
      <c r="B65" s="8">
        <v>45748.0</v>
      </c>
      <c r="C65" s="3">
        <v>74954.47</v>
      </c>
      <c r="D65" s="3">
        <v>6620.0</v>
      </c>
      <c r="E65" s="3">
        <v>0.054</v>
      </c>
      <c r="F65" s="3">
        <v>17.0</v>
      </c>
      <c r="G65" s="3">
        <v>91.1</v>
      </c>
      <c r="H65" s="3">
        <v>1.11</v>
      </c>
      <c r="I65" s="3">
        <v>0.0</v>
      </c>
      <c r="J65" s="3">
        <v>3.5</v>
      </c>
      <c r="K65" s="3">
        <v>761860.19</v>
      </c>
      <c r="L65" s="3">
        <v>133279.38</v>
      </c>
      <c r="M65" s="3">
        <v>0.0</v>
      </c>
      <c r="N65" s="3">
        <v>1.0</v>
      </c>
      <c r="O65" s="3">
        <v>0.0</v>
      </c>
      <c r="P65" s="3">
        <v>1.0</v>
      </c>
      <c r="Q65" s="3">
        <v>0.0</v>
      </c>
      <c r="R65" s="3">
        <v>0.0</v>
      </c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 t="s">
        <v>38</v>
      </c>
      <c r="B66" s="8">
        <v>45658.0</v>
      </c>
      <c r="C66" s="3">
        <v>70040.31</v>
      </c>
      <c r="D66" s="3">
        <v>9175.0</v>
      </c>
      <c r="E66" s="3">
        <v>0.107</v>
      </c>
      <c r="F66" s="3">
        <v>23.0</v>
      </c>
      <c r="G66" s="3">
        <v>95.1</v>
      </c>
      <c r="H66" s="3">
        <v>6.08</v>
      </c>
      <c r="I66" s="3">
        <v>1.0</v>
      </c>
      <c r="J66" s="3">
        <v>3.4</v>
      </c>
      <c r="K66" s="3">
        <v>784502.68</v>
      </c>
      <c r="L66" s="3">
        <v>129519.72</v>
      </c>
      <c r="M66" s="3">
        <v>0.0</v>
      </c>
      <c r="N66" s="3">
        <v>0.0</v>
      </c>
      <c r="O66" s="3">
        <v>1.0</v>
      </c>
      <c r="P66" s="3">
        <v>1.0</v>
      </c>
      <c r="Q66" s="3">
        <v>0.0</v>
      </c>
      <c r="R66" s="3">
        <v>0.0</v>
      </c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 t="s">
        <v>38</v>
      </c>
      <c r="B67" s="8">
        <v>45689.0</v>
      </c>
      <c r="C67" s="3">
        <v>51148.69</v>
      </c>
      <c r="D67" s="3">
        <v>7940.0</v>
      </c>
      <c r="E67" s="3">
        <v>0.156</v>
      </c>
      <c r="F67" s="3">
        <v>18.0</v>
      </c>
      <c r="G67" s="3">
        <v>93.3</v>
      </c>
      <c r="H67" s="3">
        <v>10.91</v>
      </c>
      <c r="I67" s="3">
        <v>0.0</v>
      </c>
      <c r="J67" s="3">
        <v>3.6</v>
      </c>
      <c r="K67" s="3">
        <v>717141.55</v>
      </c>
      <c r="L67" s="3">
        <v>134013.61</v>
      </c>
      <c r="M67" s="3">
        <v>0.0</v>
      </c>
      <c r="N67" s="3">
        <v>0.0</v>
      </c>
      <c r="O67" s="3">
        <v>1.0</v>
      </c>
      <c r="P67" s="3">
        <v>1.0</v>
      </c>
      <c r="Q67" s="3">
        <v>0.0</v>
      </c>
      <c r="R67" s="3">
        <v>0.0</v>
      </c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38</v>
      </c>
      <c r="B68" s="8">
        <v>45717.0</v>
      </c>
      <c r="C68" s="3">
        <v>79346.1</v>
      </c>
      <c r="D68" s="3">
        <v>9628.0</v>
      </c>
      <c r="E68" s="3">
        <v>0.102</v>
      </c>
      <c r="F68" s="3">
        <v>20.0</v>
      </c>
      <c r="G68" s="3">
        <v>99.0</v>
      </c>
      <c r="H68" s="3">
        <v>19.01</v>
      </c>
      <c r="I68" s="3">
        <v>1.0</v>
      </c>
      <c r="J68" s="3">
        <v>3.2</v>
      </c>
      <c r="K68" s="3">
        <v>685379.08</v>
      </c>
      <c r="L68" s="3">
        <v>106898.82</v>
      </c>
      <c r="M68" s="3">
        <v>0.0</v>
      </c>
      <c r="N68" s="3">
        <v>0.0</v>
      </c>
      <c r="O68" s="3">
        <v>1.0</v>
      </c>
      <c r="P68" s="3">
        <v>1.0</v>
      </c>
      <c r="Q68" s="3">
        <v>0.0</v>
      </c>
      <c r="R68" s="3">
        <v>0.0</v>
      </c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 t="s">
        <v>38</v>
      </c>
      <c r="B69" s="8">
        <v>45748.0</v>
      </c>
      <c r="C69" s="3">
        <v>42018.4</v>
      </c>
      <c r="D69" s="3">
        <v>8296.0</v>
      </c>
      <c r="E69" s="3">
        <v>0.115</v>
      </c>
      <c r="F69" s="3">
        <v>17.0</v>
      </c>
      <c r="G69" s="3">
        <v>91.8</v>
      </c>
      <c r="H69" s="3">
        <v>0.77</v>
      </c>
      <c r="I69" s="3">
        <v>0.0</v>
      </c>
      <c r="J69" s="3">
        <v>3.4</v>
      </c>
      <c r="K69" s="3">
        <v>740496.65</v>
      </c>
      <c r="L69" s="3">
        <v>128020.9</v>
      </c>
      <c r="M69" s="3">
        <v>0.0</v>
      </c>
      <c r="N69" s="3">
        <v>0.0</v>
      </c>
      <c r="O69" s="3">
        <v>1.0</v>
      </c>
      <c r="P69" s="3">
        <v>1.0</v>
      </c>
      <c r="Q69" s="3">
        <v>0.0</v>
      </c>
      <c r="R69" s="3">
        <v>0.0</v>
      </c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 t="s">
        <v>39</v>
      </c>
      <c r="B70" s="8">
        <v>45658.0</v>
      </c>
      <c r="C70" s="3">
        <v>70937.24</v>
      </c>
      <c r="D70" s="3">
        <v>3595.0</v>
      </c>
      <c r="E70" s="3">
        <v>0.141</v>
      </c>
      <c r="F70" s="3">
        <v>11.0</v>
      </c>
      <c r="G70" s="3">
        <v>88.9</v>
      </c>
      <c r="H70" s="3">
        <v>2.83</v>
      </c>
      <c r="I70" s="3">
        <v>1.0</v>
      </c>
      <c r="J70" s="3">
        <v>3.3</v>
      </c>
      <c r="K70" s="3">
        <v>661927.14</v>
      </c>
      <c r="L70" s="3">
        <v>79218.57</v>
      </c>
      <c r="M70" s="3">
        <v>0.0</v>
      </c>
      <c r="N70" s="3">
        <v>0.0</v>
      </c>
      <c r="O70" s="3">
        <v>0.0</v>
      </c>
      <c r="P70" s="3">
        <v>1.0</v>
      </c>
      <c r="Q70" s="3">
        <v>0.0</v>
      </c>
      <c r="R70" s="3">
        <v>0.0</v>
      </c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 t="s">
        <v>39</v>
      </c>
      <c r="B71" s="8">
        <v>45689.0</v>
      </c>
      <c r="C71" s="3">
        <v>36813.45</v>
      </c>
      <c r="D71" s="3">
        <v>2834.0</v>
      </c>
      <c r="E71" s="3">
        <v>0.191</v>
      </c>
      <c r="F71" s="3">
        <v>11.0</v>
      </c>
      <c r="G71" s="3">
        <v>81.8</v>
      </c>
      <c r="H71" s="3">
        <v>2.33</v>
      </c>
      <c r="I71" s="3">
        <v>0.0</v>
      </c>
      <c r="J71" s="3">
        <v>3.3</v>
      </c>
      <c r="K71" s="3">
        <v>479050.5</v>
      </c>
      <c r="L71" s="3">
        <v>53651.11</v>
      </c>
      <c r="M71" s="3">
        <v>0.0</v>
      </c>
      <c r="N71" s="3">
        <v>0.0</v>
      </c>
      <c r="O71" s="3">
        <v>0.0</v>
      </c>
      <c r="P71" s="3">
        <v>1.0</v>
      </c>
      <c r="Q71" s="3">
        <v>0.0</v>
      </c>
      <c r="R71" s="3">
        <v>0.0</v>
      </c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 t="s">
        <v>39</v>
      </c>
      <c r="B72" s="8">
        <v>45717.0</v>
      </c>
      <c r="C72" s="3">
        <v>60571.82</v>
      </c>
      <c r="D72" s="3">
        <v>3193.0</v>
      </c>
      <c r="E72" s="3">
        <v>0.197</v>
      </c>
      <c r="F72" s="3">
        <v>7.0</v>
      </c>
      <c r="G72" s="3">
        <v>99.0</v>
      </c>
      <c r="H72" s="3">
        <v>1.43</v>
      </c>
      <c r="I72" s="3">
        <v>0.0</v>
      </c>
      <c r="J72" s="3">
        <v>3.2</v>
      </c>
      <c r="K72" s="3">
        <v>605023.87</v>
      </c>
      <c r="L72" s="3">
        <v>98545.81</v>
      </c>
      <c r="M72" s="3">
        <v>0.0</v>
      </c>
      <c r="N72" s="3">
        <v>0.0</v>
      </c>
      <c r="O72" s="3">
        <v>0.0</v>
      </c>
      <c r="P72" s="3">
        <v>1.0</v>
      </c>
      <c r="Q72" s="3">
        <v>0.0</v>
      </c>
      <c r="R72" s="3">
        <v>0.0</v>
      </c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 t="s">
        <v>39</v>
      </c>
      <c r="B73" s="8">
        <v>45748.0</v>
      </c>
      <c r="C73" s="3">
        <v>55081.16</v>
      </c>
      <c r="D73" s="3">
        <v>5485.0</v>
      </c>
      <c r="E73" s="3">
        <v>0.036</v>
      </c>
      <c r="F73" s="3">
        <v>12.0</v>
      </c>
      <c r="G73" s="3">
        <v>88.0</v>
      </c>
      <c r="H73" s="3">
        <v>3.365</v>
      </c>
      <c r="I73" s="3">
        <v>0.0</v>
      </c>
      <c r="J73" s="3">
        <v>3.5</v>
      </c>
      <c r="K73" s="3">
        <v>674774.09</v>
      </c>
      <c r="L73" s="3">
        <v>141917.59</v>
      </c>
      <c r="M73" s="3">
        <v>0.0</v>
      </c>
      <c r="N73" s="3">
        <v>0.0</v>
      </c>
      <c r="O73" s="3">
        <v>0.0</v>
      </c>
      <c r="P73" s="3">
        <v>1.0</v>
      </c>
      <c r="Q73" s="3">
        <v>0.0</v>
      </c>
      <c r="R73" s="3">
        <v>0.0</v>
      </c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 t="s">
        <v>40</v>
      </c>
      <c r="B74" s="8">
        <v>45658.0</v>
      </c>
      <c r="C74" s="3">
        <v>46201.46</v>
      </c>
      <c r="D74" s="3">
        <v>5918.0</v>
      </c>
      <c r="E74" s="3">
        <v>0.277</v>
      </c>
      <c r="F74" s="3">
        <v>13.0</v>
      </c>
      <c r="G74" s="3">
        <v>78.8</v>
      </c>
      <c r="H74" s="3">
        <v>4.91</v>
      </c>
      <c r="I74" s="3">
        <v>0.0</v>
      </c>
      <c r="J74" s="3">
        <v>4.5</v>
      </c>
      <c r="K74" s="3">
        <v>616069.41</v>
      </c>
      <c r="L74" s="3">
        <v>54453.99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1.0</v>
      </c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 t="s">
        <v>40</v>
      </c>
      <c r="B75" s="8">
        <v>45689.0</v>
      </c>
      <c r="C75" s="3">
        <v>53762.92</v>
      </c>
      <c r="D75" s="3">
        <v>6821.0</v>
      </c>
      <c r="E75" s="3">
        <v>0.066</v>
      </c>
      <c r="F75" s="3">
        <v>19.0</v>
      </c>
      <c r="G75" s="3">
        <v>94.6</v>
      </c>
      <c r="H75" s="3">
        <v>7.03</v>
      </c>
      <c r="I75" s="3">
        <v>0.0</v>
      </c>
      <c r="J75" s="3">
        <v>4.4</v>
      </c>
      <c r="K75" s="3">
        <v>630829.94</v>
      </c>
      <c r="L75" s="3">
        <v>117090.02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1.0</v>
      </c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 t="s">
        <v>40</v>
      </c>
      <c r="B76" s="8">
        <v>45717.0</v>
      </c>
      <c r="C76" s="3">
        <v>70144.78</v>
      </c>
      <c r="D76" s="3">
        <v>6806.0</v>
      </c>
      <c r="E76" s="3">
        <v>0.178</v>
      </c>
      <c r="F76" s="3">
        <v>20.0</v>
      </c>
      <c r="G76" s="3">
        <v>93.1</v>
      </c>
      <c r="H76" s="3">
        <v>0.28</v>
      </c>
      <c r="I76" s="3">
        <v>1.0</v>
      </c>
      <c r="J76" s="3">
        <v>4.3</v>
      </c>
      <c r="K76" s="3">
        <v>788087.68</v>
      </c>
      <c r="L76" s="3">
        <v>116803.42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1.0</v>
      </c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 t="s">
        <v>40</v>
      </c>
      <c r="B77" s="8">
        <v>45748.0</v>
      </c>
      <c r="C77" s="3">
        <v>58749.63</v>
      </c>
      <c r="D77" s="3">
        <v>8252.0</v>
      </c>
      <c r="E77" s="3">
        <v>0.203</v>
      </c>
      <c r="F77" s="3">
        <v>20.0</v>
      </c>
      <c r="G77" s="3">
        <v>85.2</v>
      </c>
      <c r="H77" s="3">
        <v>3.61</v>
      </c>
      <c r="I77" s="3">
        <v>0.0</v>
      </c>
      <c r="J77" s="3">
        <v>4.5</v>
      </c>
      <c r="K77" s="3">
        <v>680840.36</v>
      </c>
      <c r="L77" s="3">
        <v>68007.68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1.0</v>
      </c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 t="s">
        <v>41</v>
      </c>
      <c r="B78" s="8">
        <v>45658.0</v>
      </c>
      <c r="C78" s="3">
        <v>56973.18</v>
      </c>
      <c r="D78" s="3">
        <v>6662.0</v>
      </c>
      <c r="E78" s="3">
        <v>0.1</v>
      </c>
      <c r="F78" s="3">
        <v>15.0</v>
      </c>
      <c r="G78" s="3">
        <v>77.7</v>
      </c>
      <c r="H78" s="3">
        <v>7.52</v>
      </c>
      <c r="I78" s="3">
        <v>1.0</v>
      </c>
      <c r="J78" s="3">
        <v>3.2</v>
      </c>
      <c r="K78" s="3">
        <v>643657.47</v>
      </c>
      <c r="L78" s="3">
        <v>87022.45</v>
      </c>
      <c r="M78" s="3">
        <v>0.0</v>
      </c>
      <c r="N78" s="3">
        <v>1.0</v>
      </c>
      <c r="O78" s="3">
        <v>0.0</v>
      </c>
      <c r="P78" s="3">
        <v>1.0</v>
      </c>
      <c r="Q78" s="3">
        <v>0.0</v>
      </c>
      <c r="R78" s="3">
        <v>0.0</v>
      </c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 t="s">
        <v>41</v>
      </c>
      <c r="B79" s="8">
        <v>45689.0</v>
      </c>
      <c r="C79" s="3">
        <v>54872.82</v>
      </c>
      <c r="D79" s="3">
        <v>5962.0</v>
      </c>
      <c r="E79" s="3">
        <v>0.064</v>
      </c>
      <c r="F79" s="3">
        <v>12.0</v>
      </c>
      <c r="G79" s="3">
        <v>85.4</v>
      </c>
      <c r="H79" s="3">
        <v>2.58</v>
      </c>
      <c r="I79" s="3">
        <v>0.0</v>
      </c>
      <c r="J79" s="3">
        <v>2.9</v>
      </c>
      <c r="K79" s="3">
        <v>691112.6</v>
      </c>
      <c r="L79" s="3">
        <v>109212.83</v>
      </c>
      <c r="M79" s="3">
        <v>0.0</v>
      </c>
      <c r="N79" s="3">
        <v>1.0</v>
      </c>
      <c r="O79" s="3">
        <v>0.0</v>
      </c>
      <c r="P79" s="3">
        <v>1.0</v>
      </c>
      <c r="Q79" s="3">
        <v>0.0</v>
      </c>
      <c r="R79" s="3">
        <v>0.0</v>
      </c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 t="s">
        <v>41</v>
      </c>
      <c r="B80" s="8">
        <v>45717.0</v>
      </c>
      <c r="C80" s="3">
        <v>80562.81</v>
      </c>
      <c r="D80" s="3">
        <v>7470.0</v>
      </c>
      <c r="E80" s="3">
        <v>0.172</v>
      </c>
      <c r="F80" s="3">
        <v>16.0</v>
      </c>
      <c r="G80" s="3">
        <v>83.5</v>
      </c>
      <c r="H80" s="3">
        <v>2.29</v>
      </c>
      <c r="I80" s="3">
        <v>0.0</v>
      </c>
      <c r="J80" s="3">
        <v>3.3</v>
      </c>
      <c r="K80" s="3">
        <v>776922.17</v>
      </c>
      <c r="L80" s="3">
        <v>150701.93</v>
      </c>
      <c r="M80" s="3">
        <v>0.0</v>
      </c>
      <c r="N80" s="3">
        <v>1.0</v>
      </c>
      <c r="O80" s="3">
        <v>0.0</v>
      </c>
      <c r="P80" s="3">
        <v>1.0</v>
      </c>
      <c r="Q80" s="3">
        <v>0.0</v>
      </c>
      <c r="R80" s="3">
        <v>0.0</v>
      </c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 t="s">
        <v>41</v>
      </c>
      <c r="B81" s="8">
        <v>45748.0</v>
      </c>
      <c r="C81" s="3">
        <v>77999.9</v>
      </c>
      <c r="D81" s="3">
        <v>5974.0</v>
      </c>
      <c r="E81" s="3">
        <v>0.252</v>
      </c>
      <c r="F81" s="3">
        <v>14.0</v>
      </c>
      <c r="G81" s="3">
        <v>81.3</v>
      </c>
      <c r="H81" s="3">
        <v>2.39</v>
      </c>
      <c r="I81" s="3">
        <v>0.0</v>
      </c>
      <c r="J81" s="3">
        <v>3.2</v>
      </c>
      <c r="K81" s="3">
        <v>636561.34</v>
      </c>
      <c r="L81" s="3">
        <v>93861.06</v>
      </c>
      <c r="M81" s="3">
        <v>0.0</v>
      </c>
      <c r="N81" s="3">
        <v>1.0</v>
      </c>
      <c r="O81" s="3">
        <v>0.0</v>
      </c>
      <c r="P81" s="3">
        <v>1.0</v>
      </c>
      <c r="Q81" s="3">
        <v>0.0</v>
      </c>
      <c r="R81" s="3">
        <v>0.0</v>
      </c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 t="s">
        <v>42</v>
      </c>
      <c r="B82" s="8">
        <v>45658.0</v>
      </c>
      <c r="C82" s="3">
        <v>60881.01</v>
      </c>
      <c r="D82" s="3">
        <v>5410.0</v>
      </c>
      <c r="E82" s="3">
        <v>0.179</v>
      </c>
      <c r="F82" s="3">
        <v>15.0</v>
      </c>
      <c r="G82" s="3">
        <v>83.9</v>
      </c>
      <c r="H82" s="3">
        <v>5.24</v>
      </c>
      <c r="I82" s="3">
        <v>0.0</v>
      </c>
      <c r="J82" s="3">
        <v>4.6</v>
      </c>
      <c r="K82" s="3">
        <v>621369.58</v>
      </c>
      <c r="L82" s="3">
        <v>85493.64</v>
      </c>
      <c r="M82" s="3">
        <v>0.0</v>
      </c>
      <c r="N82" s="3">
        <v>0.0</v>
      </c>
      <c r="O82" s="3">
        <v>1.0</v>
      </c>
      <c r="P82" s="3">
        <v>0.0</v>
      </c>
      <c r="Q82" s="3">
        <v>1.0</v>
      </c>
      <c r="R82" s="3">
        <v>0.0</v>
      </c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 t="s">
        <v>42</v>
      </c>
      <c r="B83" s="8">
        <v>45689.0</v>
      </c>
      <c r="C83" s="3">
        <v>60628.38</v>
      </c>
      <c r="D83" s="3">
        <v>4451.0</v>
      </c>
      <c r="E83" s="3">
        <v>0.095</v>
      </c>
      <c r="F83" s="3">
        <v>10.0</v>
      </c>
      <c r="G83" s="3">
        <v>89.6</v>
      </c>
      <c r="H83" s="3">
        <v>3.17</v>
      </c>
      <c r="I83" s="3">
        <v>0.0</v>
      </c>
      <c r="J83" s="3">
        <v>4.6</v>
      </c>
      <c r="K83" s="3">
        <v>682208.01</v>
      </c>
      <c r="L83" s="3">
        <v>110318.84</v>
      </c>
      <c r="M83" s="3">
        <v>0.0</v>
      </c>
      <c r="N83" s="3">
        <v>0.0</v>
      </c>
      <c r="O83" s="3">
        <v>1.0</v>
      </c>
      <c r="P83" s="3">
        <v>0.0</v>
      </c>
      <c r="Q83" s="3">
        <v>1.0</v>
      </c>
      <c r="R83" s="3">
        <v>0.0</v>
      </c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 t="s">
        <v>42</v>
      </c>
      <c r="B84" s="8">
        <v>45717.0</v>
      </c>
      <c r="C84" s="3">
        <v>72731.14</v>
      </c>
      <c r="D84" s="3">
        <v>4644.0</v>
      </c>
      <c r="E84" s="3">
        <v>0.084</v>
      </c>
      <c r="F84" s="3">
        <v>15.0</v>
      </c>
      <c r="G84" s="3">
        <v>87.1</v>
      </c>
      <c r="H84" s="3">
        <v>2.66</v>
      </c>
      <c r="I84" s="3">
        <v>0.0</v>
      </c>
      <c r="J84" s="3">
        <v>4.6</v>
      </c>
      <c r="K84" s="3">
        <v>727241.86</v>
      </c>
      <c r="L84" s="3">
        <v>155810.3</v>
      </c>
      <c r="M84" s="3">
        <v>0.0</v>
      </c>
      <c r="N84" s="3">
        <v>0.0</v>
      </c>
      <c r="O84" s="3">
        <v>1.0</v>
      </c>
      <c r="P84" s="3">
        <v>0.0</v>
      </c>
      <c r="Q84" s="3">
        <v>1.0</v>
      </c>
      <c r="R84" s="3">
        <v>0.0</v>
      </c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 t="s">
        <v>42</v>
      </c>
      <c r="B85" s="8">
        <v>45748.0</v>
      </c>
      <c r="C85" s="3">
        <v>36475.71</v>
      </c>
      <c r="D85" s="3">
        <v>3559.0</v>
      </c>
      <c r="E85" s="3">
        <v>0.03</v>
      </c>
      <c r="F85" s="3">
        <v>8.0</v>
      </c>
      <c r="G85" s="3">
        <v>83.6</v>
      </c>
      <c r="H85" s="3">
        <v>1.41</v>
      </c>
      <c r="I85" s="3">
        <v>0.0</v>
      </c>
      <c r="J85" s="3">
        <v>4.2</v>
      </c>
      <c r="K85" s="3">
        <v>569100.78</v>
      </c>
      <c r="L85" s="3">
        <v>104808.78</v>
      </c>
      <c r="M85" s="3">
        <v>0.0</v>
      </c>
      <c r="N85" s="3">
        <v>0.0</v>
      </c>
      <c r="O85" s="3">
        <v>1.0</v>
      </c>
      <c r="P85" s="3">
        <v>0.0</v>
      </c>
      <c r="Q85" s="3">
        <v>1.0</v>
      </c>
      <c r="R85" s="3">
        <v>0.0</v>
      </c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 t="s">
        <v>43</v>
      </c>
      <c r="B86" s="8">
        <v>45658.0</v>
      </c>
      <c r="C86" s="3">
        <v>55388.11</v>
      </c>
      <c r="D86" s="3">
        <v>3091.0</v>
      </c>
      <c r="E86" s="3">
        <v>0.108</v>
      </c>
      <c r="F86" s="3">
        <v>7.0</v>
      </c>
      <c r="G86" s="3">
        <v>85.4</v>
      </c>
      <c r="H86" s="3">
        <v>7.34</v>
      </c>
      <c r="I86" s="3">
        <v>0.0</v>
      </c>
      <c r="J86" s="3">
        <v>4.9</v>
      </c>
      <c r="K86" s="3">
        <v>574436.29</v>
      </c>
      <c r="L86" s="3">
        <v>80271.99</v>
      </c>
      <c r="M86" s="3">
        <v>0.0</v>
      </c>
      <c r="N86" s="3">
        <v>0.0</v>
      </c>
      <c r="O86" s="3">
        <v>1.0</v>
      </c>
      <c r="P86" s="3">
        <v>1.0</v>
      </c>
      <c r="Q86" s="3">
        <v>0.0</v>
      </c>
      <c r="R86" s="3">
        <v>0.0</v>
      </c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 t="s">
        <v>43</v>
      </c>
      <c r="B87" s="8">
        <v>45689.0</v>
      </c>
      <c r="C87" s="3">
        <v>88443.77</v>
      </c>
      <c r="D87" s="3">
        <v>4004.0</v>
      </c>
      <c r="E87" s="3">
        <v>0.206</v>
      </c>
      <c r="F87" s="3">
        <v>11.0</v>
      </c>
      <c r="G87" s="3">
        <v>91.9</v>
      </c>
      <c r="H87" s="3">
        <v>5.95</v>
      </c>
      <c r="I87" s="3">
        <v>0.0</v>
      </c>
      <c r="J87" s="3">
        <v>3.9</v>
      </c>
      <c r="K87" s="3">
        <v>611766.72</v>
      </c>
      <c r="L87" s="3">
        <v>88275.61</v>
      </c>
      <c r="M87" s="3">
        <v>0.0</v>
      </c>
      <c r="N87" s="3">
        <v>0.0</v>
      </c>
      <c r="O87" s="3">
        <v>1.0</v>
      </c>
      <c r="P87" s="3">
        <v>1.0</v>
      </c>
      <c r="Q87" s="3">
        <v>0.0</v>
      </c>
      <c r="R87" s="3">
        <v>0.0</v>
      </c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 t="s">
        <v>43</v>
      </c>
      <c r="B88" s="8">
        <v>45717.0</v>
      </c>
      <c r="C88" s="3">
        <v>78231.91</v>
      </c>
      <c r="D88" s="3">
        <v>3788.0</v>
      </c>
      <c r="E88" s="3">
        <v>0.059</v>
      </c>
      <c r="F88" s="3">
        <v>11.0</v>
      </c>
      <c r="G88" s="3">
        <v>88.5</v>
      </c>
      <c r="H88" s="3">
        <v>15.51</v>
      </c>
      <c r="I88" s="3">
        <v>0.0</v>
      </c>
      <c r="J88" s="3">
        <v>4.3</v>
      </c>
      <c r="K88" s="3">
        <v>614596.32</v>
      </c>
      <c r="L88" s="3">
        <v>131199.41</v>
      </c>
      <c r="M88" s="3">
        <v>0.0</v>
      </c>
      <c r="N88" s="3">
        <v>0.0</v>
      </c>
      <c r="O88" s="3">
        <v>1.0</v>
      </c>
      <c r="P88" s="3">
        <v>1.0</v>
      </c>
      <c r="Q88" s="3">
        <v>0.0</v>
      </c>
      <c r="R88" s="3">
        <v>0.0</v>
      </c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 t="s">
        <v>43</v>
      </c>
      <c r="B89" s="8">
        <v>45748.0</v>
      </c>
      <c r="C89" s="3">
        <v>18996.32</v>
      </c>
      <c r="D89" s="3">
        <v>1260.0</v>
      </c>
      <c r="E89" s="3">
        <v>0.145</v>
      </c>
      <c r="F89" s="3">
        <v>9.0</v>
      </c>
      <c r="G89" s="3">
        <v>86.4</v>
      </c>
      <c r="H89" s="3">
        <v>4.31</v>
      </c>
      <c r="I89" s="3">
        <v>0.0</v>
      </c>
      <c r="J89" s="3">
        <v>4.6</v>
      </c>
      <c r="K89" s="3">
        <v>450711.92</v>
      </c>
      <c r="L89" s="3">
        <v>90043.76</v>
      </c>
      <c r="M89" s="3">
        <v>0.0</v>
      </c>
      <c r="N89" s="3">
        <v>0.0</v>
      </c>
      <c r="O89" s="3">
        <v>1.0</v>
      </c>
      <c r="P89" s="3">
        <v>1.0</v>
      </c>
      <c r="Q89" s="3">
        <v>0.0</v>
      </c>
      <c r="R89" s="3">
        <v>0.0</v>
      </c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 t="s">
        <v>44</v>
      </c>
      <c r="B90" s="8">
        <v>45658.0</v>
      </c>
      <c r="C90" s="3">
        <v>50517.94</v>
      </c>
      <c r="D90" s="3">
        <v>7024.0</v>
      </c>
      <c r="E90" s="3">
        <v>0.029</v>
      </c>
      <c r="F90" s="3">
        <v>18.0</v>
      </c>
      <c r="G90" s="3">
        <v>79.2</v>
      </c>
      <c r="H90" s="3">
        <v>6.61</v>
      </c>
      <c r="I90" s="3">
        <v>1.0</v>
      </c>
      <c r="J90" s="3">
        <v>4.1</v>
      </c>
      <c r="K90" s="3">
        <v>711213.46</v>
      </c>
      <c r="L90" s="3">
        <v>105863.26</v>
      </c>
      <c r="M90" s="3">
        <v>0.0</v>
      </c>
      <c r="N90" s="3">
        <v>1.0</v>
      </c>
      <c r="O90" s="3">
        <v>0.0</v>
      </c>
      <c r="P90" s="3">
        <v>0.0</v>
      </c>
      <c r="Q90" s="3">
        <v>1.0</v>
      </c>
      <c r="R90" s="3">
        <v>0.0</v>
      </c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 t="s">
        <v>44</v>
      </c>
      <c r="B91" s="8">
        <v>45689.0</v>
      </c>
      <c r="C91" s="3">
        <v>141540.29</v>
      </c>
      <c r="D91" s="3">
        <v>5400.0</v>
      </c>
      <c r="E91" s="3">
        <v>0.013</v>
      </c>
      <c r="F91" s="3">
        <v>12.0</v>
      </c>
      <c r="G91" s="3">
        <v>87.0</v>
      </c>
      <c r="H91" s="3">
        <v>4.26</v>
      </c>
      <c r="I91" s="3">
        <v>0.0</v>
      </c>
      <c r="J91" s="3">
        <v>4.5</v>
      </c>
      <c r="K91" s="3">
        <v>627171.9</v>
      </c>
      <c r="L91" s="3">
        <v>105772.75</v>
      </c>
      <c r="M91" s="3">
        <v>0.0</v>
      </c>
      <c r="N91" s="3">
        <v>1.0</v>
      </c>
      <c r="O91" s="3">
        <v>0.0</v>
      </c>
      <c r="P91" s="3">
        <v>0.0</v>
      </c>
      <c r="Q91" s="3">
        <v>1.0</v>
      </c>
      <c r="R91" s="3">
        <v>0.0</v>
      </c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 t="s">
        <v>44</v>
      </c>
      <c r="B92" s="8">
        <v>45717.0</v>
      </c>
      <c r="C92" s="3">
        <v>82116.19</v>
      </c>
      <c r="D92" s="3">
        <v>5988.0</v>
      </c>
      <c r="E92" s="3">
        <v>0.04</v>
      </c>
      <c r="F92" s="3">
        <v>17.0</v>
      </c>
      <c r="G92" s="3">
        <v>91.8</v>
      </c>
      <c r="H92" s="3">
        <v>5.75</v>
      </c>
      <c r="I92" s="3">
        <v>0.0</v>
      </c>
      <c r="J92" s="3">
        <v>4.7</v>
      </c>
      <c r="K92" s="3">
        <v>739852.58</v>
      </c>
      <c r="L92" s="3">
        <v>129386.43</v>
      </c>
      <c r="M92" s="3">
        <v>0.0</v>
      </c>
      <c r="N92" s="3">
        <v>1.0</v>
      </c>
      <c r="O92" s="3">
        <v>0.0</v>
      </c>
      <c r="P92" s="3">
        <v>0.0</v>
      </c>
      <c r="Q92" s="3">
        <v>1.0</v>
      </c>
      <c r="R92" s="3">
        <v>0.0</v>
      </c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 t="s">
        <v>44</v>
      </c>
      <c r="B93" s="8">
        <v>45748.0</v>
      </c>
      <c r="C93" s="3">
        <v>31207.51</v>
      </c>
      <c r="D93" s="3">
        <v>3701.0</v>
      </c>
      <c r="E93" s="3">
        <v>0.043</v>
      </c>
      <c r="F93" s="3">
        <v>11.0</v>
      </c>
      <c r="G93" s="3">
        <v>84.7</v>
      </c>
      <c r="H93" s="3">
        <v>0.33</v>
      </c>
      <c r="I93" s="3">
        <v>0.0</v>
      </c>
      <c r="J93" s="3">
        <v>4.3</v>
      </c>
      <c r="K93" s="3">
        <v>586307.22</v>
      </c>
      <c r="L93" s="3">
        <v>73927.85</v>
      </c>
      <c r="M93" s="3">
        <v>0.0</v>
      </c>
      <c r="N93" s="3">
        <v>1.0</v>
      </c>
      <c r="O93" s="3">
        <v>0.0</v>
      </c>
      <c r="P93" s="3">
        <v>0.0</v>
      </c>
      <c r="Q93" s="3">
        <v>1.0</v>
      </c>
      <c r="R93" s="3">
        <v>0.0</v>
      </c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 t="s">
        <v>45</v>
      </c>
      <c r="B94" s="8">
        <v>45658.0</v>
      </c>
      <c r="C94" s="3">
        <v>38966.59</v>
      </c>
      <c r="D94" s="3">
        <v>4509.0</v>
      </c>
      <c r="E94" s="3">
        <v>0.194</v>
      </c>
      <c r="F94" s="3">
        <v>14.0</v>
      </c>
      <c r="G94" s="3">
        <v>91.1</v>
      </c>
      <c r="H94" s="3">
        <v>2.92</v>
      </c>
      <c r="I94" s="3">
        <v>0.0</v>
      </c>
      <c r="J94" s="3">
        <v>4.6</v>
      </c>
      <c r="K94" s="3">
        <v>585937.48</v>
      </c>
      <c r="L94" s="3">
        <v>82624.2</v>
      </c>
      <c r="M94" s="3">
        <v>0.0</v>
      </c>
      <c r="N94" s="3">
        <v>0.0</v>
      </c>
      <c r="O94" s="3">
        <v>1.0</v>
      </c>
      <c r="P94" s="3">
        <v>0.0</v>
      </c>
      <c r="Q94" s="3">
        <v>0.0</v>
      </c>
      <c r="R94" s="3">
        <v>1.0</v>
      </c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 t="s">
        <v>45</v>
      </c>
      <c r="B95" s="8">
        <v>45689.0</v>
      </c>
      <c r="C95" s="3">
        <v>67439.3</v>
      </c>
      <c r="D95" s="3">
        <v>6477.0</v>
      </c>
      <c r="E95" s="3">
        <v>0.0</v>
      </c>
      <c r="F95" s="3">
        <v>16.0</v>
      </c>
      <c r="G95" s="3">
        <v>90.9</v>
      </c>
      <c r="H95" s="3">
        <v>1.64</v>
      </c>
      <c r="I95" s="3">
        <v>0.0</v>
      </c>
      <c r="J95" s="3">
        <v>4.5</v>
      </c>
      <c r="K95" s="3">
        <v>753473.55</v>
      </c>
      <c r="L95" s="3">
        <v>151527.22</v>
      </c>
      <c r="M95" s="3">
        <v>0.0</v>
      </c>
      <c r="N95" s="3">
        <v>0.0</v>
      </c>
      <c r="O95" s="3">
        <v>1.0</v>
      </c>
      <c r="P95" s="3">
        <v>0.0</v>
      </c>
      <c r="Q95" s="3">
        <v>0.0</v>
      </c>
      <c r="R95" s="3">
        <v>1.0</v>
      </c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 t="s">
        <v>45</v>
      </c>
      <c r="B96" s="8">
        <v>45717.0</v>
      </c>
      <c r="C96" s="3">
        <v>86421.88</v>
      </c>
      <c r="D96" s="3">
        <v>7970.0</v>
      </c>
      <c r="E96" s="3">
        <v>0.073</v>
      </c>
      <c r="F96" s="3">
        <v>17.0</v>
      </c>
      <c r="G96" s="3">
        <v>91.3</v>
      </c>
      <c r="H96" s="3">
        <v>0.8</v>
      </c>
      <c r="I96" s="3">
        <v>0.0</v>
      </c>
      <c r="J96" s="3">
        <v>5.0</v>
      </c>
      <c r="K96" s="3">
        <v>838250.32</v>
      </c>
      <c r="L96" s="3">
        <v>122939.34</v>
      </c>
      <c r="M96" s="3">
        <v>0.0</v>
      </c>
      <c r="N96" s="3">
        <v>0.0</v>
      </c>
      <c r="O96" s="3">
        <v>1.0</v>
      </c>
      <c r="P96" s="3">
        <v>0.0</v>
      </c>
      <c r="Q96" s="3">
        <v>0.0</v>
      </c>
      <c r="R96" s="3">
        <v>1.0</v>
      </c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 t="s">
        <v>45</v>
      </c>
      <c r="B97" s="8">
        <v>45748.0</v>
      </c>
      <c r="C97" s="3">
        <v>9534.65</v>
      </c>
      <c r="D97" s="3">
        <v>6057.0</v>
      </c>
      <c r="E97" s="3">
        <v>0.074</v>
      </c>
      <c r="F97" s="3">
        <v>15.0</v>
      </c>
      <c r="G97" s="3">
        <v>94.1</v>
      </c>
      <c r="H97" s="3">
        <v>5.79</v>
      </c>
      <c r="I97" s="3">
        <v>0.0</v>
      </c>
      <c r="J97" s="3">
        <v>4.5</v>
      </c>
      <c r="K97" s="3">
        <v>607898.12</v>
      </c>
      <c r="L97" s="3">
        <v>135404.85</v>
      </c>
      <c r="M97" s="3">
        <v>0.0</v>
      </c>
      <c r="N97" s="3">
        <v>0.0</v>
      </c>
      <c r="O97" s="3">
        <v>1.0</v>
      </c>
      <c r="P97" s="3">
        <v>0.0</v>
      </c>
      <c r="Q97" s="3">
        <v>0.0</v>
      </c>
      <c r="R97" s="3">
        <v>1.0</v>
      </c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 t="s">
        <v>46</v>
      </c>
      <c r="B98" s="8">
        <v>45658.0</v>
      </c>
      <c r="C98" s="3">
        <v>61132.07</v>
      </c>
      <c r="D98" s="3">
        <v>6394.0</v>
      </c>
      <c r="E98" s="3">
        <v>0.163</v>
      </c>
      <c r="F98" s="3">
        <v>19.0</v>
      </c>
      <c r="G98" s="3">
        <v>91.0</v>
      </c>
      <c r="H98" s="3">
        <v>19.6</v>
      </c>
      <c r="I98" s="3">
        <v>0.0</v>
      </c>
      <c r="J98" s="3">
        <v>4.4</v>
      </c>
      <c r="K98" s="3">
        <v>691113.62</v>
      </c>
      <c r="L98" s="3">
        <v>135145.44</v>
      </c>
      <c r="M98" s="3">
        <v>0.0</v>
      </c>
      <c r="N98" s="3">
        <v>0.0</v>
      </c>
      <c r="O98" s="3">
        <v>1.0</v>
      </c>
      <c r="P98" s="3">
        <v>0.0</v>
      </c>
      <c r="Q98" s="3">
        <v>1.0</v>
      </c>
      <c r="R98" s="3">
        <v>0.0</v>
      </c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 t="s">
        <v>46</v>
      </c>
      <c r="B99" s="8">
        <v>45689.0</v>
      </c>
      <c r="C99" s="3">
        <v>78839.39</v>
      </c>
      <c r="D99" s="3">
        <v>5150.0</v>
      </c>
      <c r="E99" s="3">
        <v>0.171</v>
      </c>
      <c r="F99" s="3">
        <v>13.0</v>
      </c>
      <c r="G99" s="3">
        <v>85.8</v>
      </c>
      <c r="H99" s="3">
        <v>7.57</v>
      </c>
      <c r="I99" s="3">
        <v>0.0</v>
      </c>
      <c r="J99" s="3">
        <v>4.3</v>
      </c>
      <c r="K99" s="3">
        <v>735509.4</v>
      </c>
      <c r="L99" s="3">
        <v>83895.96</v>
      </c>
      <c r="M99" s="3">
        <v>0.0</v>
      </c>
      <c r="N99" s="3">
        <v>0.0</v>
      </c>
      <c r="O99" s="3">
        <v>1.0</v>
      </c>
      <c r="P99" s="3">
        <v>0.0</v>
      </c>
      <c r="Q99" s="3">
        <v>1.0</v>
      </c>
      <c r="R99" s="3">
        <v>0.0</v>
      </c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 t="s">
        <v>46</v>
      </c>
      <c r="B100" s="8">
        <v>45717.0</v>
      </c>
      <c r="C100" s="3">
        <v>38752.8</v>
      </c>
      <c r="D100" s="3">
        <v>4712.0</v>
      </c>
      <c r="E100" s="3">
        <v>0.075</v>
      </c>
      <c r="F100" s="3">
        <v>15.0</v>
      </c>
      <c r="G100" s="3">
        <v>89.7</v>
      </c>
      <c r="H100" s="3">
        <v>3.365</v>
      </c>
      <c r="I100" s="3">
        <v>0.0</v>
      </c>
      <c r="J100" s="3">
        <v>4.3</v>
      </c>
      <c r="K100" s="3">
        <v>605775.33</v>
      </c>
      <c r="L100" s="3">
        <v>107194.6</v>
      </c>
      <c r="M100" s="3">
        <v>0.0</v>
      </c>
      <c r="N100" s="3">
        <v>0.0</v>
      </c>
      <c r="O100" s="3">
        <v>1.0</v>
      </c>
      <c r="P100" s="3">
        <v>0.0</v>
      </c>
      <c r="Q100" s="3">
        <v>1.0</v>
      </c>
      <c r="R100" s="3">
        <v>0.0</v>
      </c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 t="s">
        <v>46</v>
      </c>
      <c r="B101" s="8">
        <v>45748.0</v>
      </c>
      <c r="C101" s="3">
        <v>55101.1</v>
      </c>
      <c r="D101" s="3">
        <v>5281.0</v>
      </c>
      <c r="E101" s="3">
        <v>0.189</v>
      </c>
      <c r="F101" s="3">
        <v>11.0</v>
      </c>
      <c r="G101" s="3">
        <v>91.0</v>
      </c>
      <c r="H101" s="3">
        <v>2.7</v>
      </c>
      <c r="I101" s="3">
        <v>0.0</v>
      </c>
      <c r="J101" s="3">
        <v>4.4</v>
      </c>
      <c r="K101" s="3">
        <v>675177.68</v>
      </c>
      <c r="L101" s="3">
        <v>105628.68</v>
      </c>
      <c r="M101" s="3">
        <v>0.0</v>
      </c>
      <c r="N101" s="3">
        <v>0.0</v>
      </c>
      <c r="O101" s="3">
        <v>1.0</v>
      </c>
      <c r="P101" s="3">
        <v>0.0</v>
      </c>
      <c r="Q101" s="3">
        <v>1.0</v>
      </c>
      <c r="R101" s="3">
        <v>0.0</v>
      </c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 t="s">
        <v>47</v>
      </c>
      <c r="B102" s="8">
        <v>45658.0</v>
      </c>
      <c r="C102" s="3">
        <v>53084.76</v>
      </c>
      <c r="D102" s="3">
        <v>3642.0</v>
      </c>
      <c r="E102" s="3">
        <v>0.15</v>
      </c>
      <c r="F102" s="3">
        <v>12.0</v>
      </c>
      <c r="G102" s="3">
        <v>91.4</v>
      </c>
      <c r="H102" s="3">
        <v>0.2</v>
      </c>
      <c r="I102" s="3">
        <v>0.0</v>
      </c>
      <c r="J102" s="3">
        <v>4.4</v>
      </c>
      <c r="K102" s="3">
        <v>635181.35</v>
      </c>
      <c r="L102" s="3">
        <v>83341.25</v>
      </c>
      <c r="M102" s="3">
        <v>0.0</v>
      </c>
      <c r="N102" s="3">
        <v>0.0</v>
      </c>
      <c r="O102" s="3">
        <v>0.0</v>
      </c>
      <c r="P102" s="3">
        <v>0.0</v>
      </c>
      <c r="Q102" s="3">
        <v>1.0</v>
      </c>
      <c r="R102" s="3">
        <v>0.0</v>
      </c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 t="s">
        <v>47</v>
      </c>
      <c r="B103" s="8">
        <v>45689.0</v>
      </c>
      <c r="C103" s="3">
        <v>63101.59</v>
      </c>
      <c r="D103" s="3">
        <v>4373.0</v>
      </c>
      <c r="E103" s="3">
        <v>0.173</v>
      </c>
      <c r="F103" s="3">
        <v>14.0</v>
      </c>
      <c r="G103" s="3">
        <v>90.4</v>
      </c>
      <c r="H103" s="3">
        <v>7.87</v>
      </c>
      <c r="I103" s="3">
        <v>0.0</v>
      </c>
      <c r="J103" s="3">
        <v>4.7</v>
      </c>
      <c r="K103" s="3">
        <v>586626.94</v>
      </c>
      <c r="L103" s="3">
        <v>86498.55</v>
      </c>
      <c r="M103" s="3">
        <v>0.0</v>
      </c>
      <c r="N103" s="3">
        <v>0.0</v>
      </c>
      <c r="O103" s="3">
        <v>0.0</v>
      </c>
      <c r="P103" s="3">
        <v>0.0</v>
      </c>
      <c r="Q103" s="3">
        <v>1.0</v>
      </c>
      <c r="R103" s="3">
        <v>0.0</v>
      </c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 t="s">
        <v>47</v>
      </c>
      <c r="B104" s="8">
        <v>45717.0</v>
      </c>
      <c r="C104" s="3">
        <v>90084.4</v>
      </c>
      <c r="D104" s="3">
        <v>6832.0</v>
      </c>
      <c r="E104" s="3">
        <v>0.185</v>
      </c>
      <c r="F104" s="3">
        <v>14.0</v>
      </c>
      <c r="G104" s="3">
        <v>80.5</v>
      </c>
      <c r="H104" s="3">
        <v>0.77</v>
      </c>
      <c r="I104" s="3">
        <v>1.0</v>
      </c>
      <c r="J104" s="3">
        <v>4.4</v>
      </c>
      <c r="K104" s="3">
        <v>740102.64</v>
      </c>
      <c r="L104" s="3">
        <v>114299.07</v>
      </c>
      <c r="M104" s="3">
        <v>0.0</v>
      </c>
      <c r="N104" s="3">
        <v>0.0</v>
      </c>
      <c r="O104" s="3">
        <v>0.0</v>
      </c>
      <c r="P104" s="3">
        <v>0.0</v>
      </c>
      <c r="Q104" s="3">
        <v>1.0</v>
      </c>
      <c r="R104" s="3">
        <v>0.0</v>
      </c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 t="s">
        <v>47</v>
      </c>
      <c r="B105" s="8">
        <v>45748.0</v>
      </c>
      <c r="C105" s="3">
        <v>32266.64</v>
      </c>
      <c r="D105" s="3">
        <v>2414.0</v>
      </c>
      <c r="E105" s="3">
        <v>0.08</v>
      </c>
      <c r="F105" s="3">
        <v>7.0</v>
      </c>
      <c r="G105" s="3">
        <v>92.1</v>
      </c>
      <c r="H105" s="3">
        <v>1.48</v>
      </c>
      <c r="I105" s="3">
        <v>0.0</v>
      </c>
      <c r="J105" s="3">
        <v>5.0</v>
      </c>
      <c r="K105" s="3">
        <v>625514.04</v>
      </c>
      <c r="L105" s="3">
        <v>120685.08</v>
      </c>
      <c r="M105" s="3">
        <v>0.0</v>
      </c>
      <c r="N105" s="3">
        <v>0.0</v>
      </c>
      <c r="O105" s="3">
        <v>0.0</v>
      </c>
      <c r="P105" s="3">
        <v>0.0</v>
      </c>
      <c r="Q105" s="3">
        <v>1.0</v>
      </c>
      <c r="R105" s="3">
        <v>0.0</v>
      </c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 t="s">
        <v>48</v>
      </c>
      <c r="B106" s="8">
        <v>45658.0</v>
      </c>
      <c r="C106" s="3">
        <v>57919.07</v>
      </c>
      <c r="D106" s="3">
        <v>7374.0</v>
      </c>
      <c r="E106" s="3">
        <v>0.103</v>
      </c>
      <c r="F106" s="3">
        <v>21.0</v>
      </c>
      <c r="G106" s="3">
        <v>82.3</v>
      </c>
      <c r="H106" s="3">
        <v>2.87</v>
      </c>
      <c r="I106" s="3">
        <v>0.0</v>
      </c>
      <c r="J106" s="3">
        <v>2.9</v>
      </c>
      <c r="K106" s="3">
        <v>727227.2</v>
      </c>
      <c r="L106" s="3">
        <v>121292.01</v>
      </c>
      <c r="M106" s="3">
        <v>0.0</v>
      </c>
      <c r="N106" s="3">
        <v>0.0</v>
      </c>
      <c r="O106" s="3">
        <v>1.0</v>
      </c>
      <c r="P106" s="3">
        <v>1.0</v>
      </c>
      <c r="Q106" s="3">
        <v>0.0</v>
      </c>
      <c r="R106" s="3">
        <v>0.0</v>
      </c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 t="s">
        <v>48</v>
      </c>
      <c r="B107" s="8">
        <v>45689.0</v>
      </c>
      <c r="C107" s="3">
        <v>74679.35</v>
      </c>
      <c r="D107" s="3">
        <v>8739.0</v>
      </c>
      <c r="E107" s="3">
        <v>0.056</v>
      </c>
      <c r="F107" s="3">
        <v>21.0</v>
      </c>
      <c r="G107" s="3">
        <v>91.8</v>
      </c>
      <c r="H107" s="3">
        <v>2.83</v>
      </c>
      <c r="I107" s="3">
        <v>0.0</v>
      </c>
      <c r="J107" s="3">
        <v>3.0</v>
      </c>
      <c r="K107" s="3">
        <v>783797.89</v>
      </c>
      <c r="L107" s="3">
        <v>157620.7</v>
      </c>
      <c r="M107" s="3">
        <v>0.0</v>
      </c>
      <c r="N107" s="3">
        <v>0.0</v>
      </c>
      <c r="O107" s="3">
        <v>1.0</v>
      </c>
      <c r="P107" s="3">
        <v>1.0</v>
      </c>
      <c r="Q107" s="3">
        <v>0.0</v>
      </c>
      <c r="R107" s="3">
        <v>0.0</v>
      </c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 t="s">
        <v>48</v>
      </c>
      <c r="B108" s="8">
        <v>45717.0</v>
      </c>
      <c r="C108" s="3">
        <v>64294.23</v>
      </c>
      <c r="D108" s="3">
        <v>6992.0</v>
      </c>
      <c r="E108" s="3">
        <v>0.133</v>
      </c>
      <c r="F108" s="3">
        <v>14.0</v>
      </c>
      <c r="G108" s="3">
        <v>94.1</v>
      </c>
      <c r="H108" s="3">
        <v>0.25</v>
      </c>
      <c r="I108" s="3">
        <v>0.0</v>
      </c>
      <c r="J108" s="3">
        <v>3.0</v>
      </c>
      <c r="K108" s="3">
        <v>795153.84</v>
      </c>
      <c r="L108" s="3">
        <v>143194.21</v>
      </c>
      <c r="M108" s="3">
        <v>0.0</v>
      </c>
      <c r="N108" s="3">
        <v>0.0</v>
      </c>
      <c r="O108" s="3">
        <v>1.0</v>
      </c>
      <c r="P108" s="3">
        <v>1.0</v>
      </c>
      <c r="Q108" s="3">
        <v>0.0</v>
      </c>
      <c r="R108" s="3">
        <v>0.0</v>
      </c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 t="s">
        <v>48</v>
      </c>
      <c r="B109" s="8">
        <v>45748.0</v>
      </c>
      <c r="C109" s="3">
        <v>31042.03</v>
      </c>
      <c r="D109" s="3">
        <v>7107.0</v>
      </c>
      <c r="E109" s="3">
        <v>0.051</v>
      </c>
      <c r="F109" s="3">
        <v>15.0</v>
      </c>
      <c r="G109" s="3">
        <v>87.0</v>
      </c>
      <c r="H109" s="3">
        <v>13.33</v>
      </c>
      <c r="I109" s="3">
        <v>0.0</v>
      </c>
      <c r="J109" s="3">
        <v>3.2</v>
      </c>
      <c r="K109" s="3">
        <v>665594.94</v>
      </c>
      <c r="L109" s="3">
        <v>127597.34</v>
      </c>
      <c r="M109" s="3">
        <v>0.0</v>
      </c>
      <c r="N109" s="3">
        <v>0.0</v>
      </c>
      <c r="O109" s="3">
        <v>1.0</v>
      </c>
      <c r="P109" s="3">
        <v>1.0</v>
      </c>
      <c r="Q109" s="3">
        <v>0.0</v>
      </c>
      <c r="R109" s="3">
        <v>0.0</v>
      </c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 t="s">
        <v>49</v>
      </c>
      <c r="B110" s="8">
        <v>45658.0</v>
      </c>
      <c r="C110" s="3">
        <v>75265.02</v>
      </c>
      <c r="D110" s="3">
        <v>6975.0</v>
      </c>
      <c r="E110" s="3">
        <v>0.157</v>
      </c>
      <c r="F110" s="3">
        <v>20.0</v>
      </c>
      <c r="G110" s="3">
        <v>73.8</v>
      </c>
      <c r="H110" s="3">
        <v>6.35</v>
      </c>
      <c r="I110" s="3">
        <v>1.0</v>
      </c>
      <c r="J110" s="3">
        <v>3.8</v>
      </c>
      <c r="K110" s="3">
        <v>709478.39</v>
      </c>
      <c r="L110" s="3">
        <v>71294.27</v>
      </c>
      <c r="M110" s="3">
        <v>0.0</v>
      </c>
      <c r="N110" s="3">
        <v>0.0</v>
      </c>
      <c r="O110" s="3">
        <v>0.0</v>
      </c>
      <c r="P110" s="3">
        <v>0.0</v>
      </c>
      <c r="Q110" s="3">
        <v>1.0</v>
      </c>
      <c r="R110" s="3">
        <v>0.0</v>
      </c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 t="s">
        <v>49</v>
      </c>
      <c r="B111" s="8">
        <v>45689.0</v>
      </c>
      <c r="C111" s="3">
        <v>69411.7</v>
      </c>
      <c r="D111" s="3">
        <v>5493.0</v>
      </c>
      <c r="E111" s="3">
        <v>0.292</v>
      </c>
      <c r="F111" s="3">
        <v>13.0</v>
      </c>
      <c r="G111" s="3">
        <v>86.5</v>
      </c>
      <c r="H111" s="3">
        <v>6.69</v>
      </c>
      <c r="I111" s="3">
        <v>0.0</v>
      </c>
      <c r="J111" s="3">
        <v>3.8</v>
      </c>
      <c r="K111" s="3">
        <v>664162.49</v>
      </c>
      <c r="L111" s="3">
        <v>98291.06</v>
      </c>
      <c r="M111" s="3">
        <v>0.0</v>
      </c>
      <c r="N111" s="3">
        <v>0.0</v>
      </c>
      <c r="O111" s="3">
        <v>0.0</v>
      </c>
      <c r="P111" s="3">
        <v>0.0</v>
      </c>
      <c r="Q111" s="3">
        <v>1.0</v>
      </c>
      <c r="R111" s="3">
        <v>0.0</v>
      </c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 t="s">
        <v>49</v>
      </c>
      <c r="B112" s="8">
        <v>45717.0</v>
      </c>
      <c r="C112" s="3">
        <v>51056.15</v>
      </c>
      <c r="D112" s="3">
        <v>5686.0</v>
      </c>
      <c r="E112" s="3">
        <v>0.089</v>
      </c>
      <c r="F112" s="3">
        <v>13.0</v>
      </c>
      <c r="G112" s="3">
        <v>89.9</v>
      </c>
      <c r="H112" s="3">
        <v>1.28</v>
      </c>
      <c r="I112" s="3">
        <v>0.0</v>
      </c>
      <c r="J112" s="3">
        <v>4.2</v>
      </c>
      <c r="K112" s="3">
        <v>633494.21</v>
      </c>
      <c r="L112" s="3">
        <v>105739.47</v>
      </c>
      <c r="M112" s="3">
        <v>0.0</v>
      </c>
      <c r="N112" s="3">
        <v>0.0</v>
      </c>
      <c r="O112" s="3">
        <v>0.0</v>
      </c>
      <c r="P112" s="3">
        <v>0.0</v>
      </c>
      <c r="Q112" s="3">
        <v>1.0</v>
      </c>
      <c r="R112" s="3">
        <v>0.0</v>
      </c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 t="s">
        <v>49</v>
      </c>
      <c r="B113" s="8">
        <v>45748.0</v>
      </c>
      <c r="C113" s="3">
        <v>52758.01</v>
      </c>
      <c r="D113" s="3">
        <v>4063.0</v>
      </c>
      <c r="E113" s="3">
        <v>0.057</v>
      </c>
      <c r="F113" s="3">
        <v>12.0</v>
      </c>
      <c r="G113" s="3">
        <v>91.7</v>
      </c>
      <c r="H113" s="3">
        <v>0.92</v>
      </c>
      <c r="I113" s="3">
        <v>0.0</v>
      </c>
      <c r="J113" s="3">
        <v>3.5</v>
      </c>
      <c r="K113" s="3">
        <v>713611.16</v>
      </c>
      <c r="L113" s="3">
        <v>129717.18</v>
      </c>
      <c r="M113" s="3">
        <v>0.0</v>
      </c>
      <c r="N113" s="3">
        <v>0.0</v>
      </c>
      <c r="O113" s="3">
        <v>0.0</v>
      </c>
      <c r="P113" s="3">
        <v>0.0</v>
      </c>
      <c r="Q113" s="3">
        <v>1.0</v>
      </c>
      <c r="R113" s="3">
        <v>0.0</v>
      </c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 t="s">
        <v>50</v>
      </c>
      <c r="B114" s="8">
        <v>45658.0</v>
      </c>
      <c r="C114" s="3">
        <v>61426.04</v>
      </c>
      <c r="D114" s="3">
        <v>8966.0</v>
      </c>
      <c r="E114" s="3">
        <v>0.173</v>
      </c>
      <c r="F114" s="3">
        <v>22.0</v>
      </c>
      <c r="G114" s="3">
        <v>76.4</v>
      </c>
      <c r="H114" s="3">
        <v>1.05</v>
      </c>
      <c r="I114" s="3">
        <v>0.0</v>
      </c>
      <c r="J114" s="3">
        <v>3.1</v>
      </c>
      <c r="K114" s="3">
        <v>778397.97</v>
      </c>
      <c r="L114" s="3">
        <v>120044.41</v>
      </c>
      <c r="M114" s="3">
        <v>0.0</v>
      </c>
      <c r="N114" s="3">
        <v>0.0</v>
      </c>
      <c r="O114" s="3">
        <v>1.0</v>
      </c>
      <c r="P114" s="3">
        <v>0.0</v>
      </c>
      <c r="Q114" s="3">
        <v>1.0</v>
      </c>
      <c r="R114" s="3">
        <v>0.0</v>
      </c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 t="s">
        <v>50</v>
      </c>
      <c r="B115" s="8">
        <v>45689.0</v>
      </c>
      <c r="C115" s="3">
        <v>80176.34</v>
      </c>
      <c r="D115" s="3">
        <v>9489.0</v>
      </c>
      <c r="E115" s="3">
        <v>0.142</v>
      </c>
      <c r="F115" s="3">
        <v>22.0</v>
      </c>
      <c r="G115" s="3">
        <v>94.3</v>
      </c>
      <c r="H115" s="3">
        <v>2.67</v>
      </c>
      <c r="I115" s="3">
        <v>0.0</v>
      </c>
      <c r="J115" s="3">
        <v>3.5</v>
      </c>
      <c r="K115" s="3">
        <v>873380.02</v>
      </c>
      <c r="L115" s="3">
        <v>149734.76</v>
      </c>
      <c r="M115" s="3">
        <v>0.0</v>
      </c>
      <c r="N115" s="3">
        <v>0.0</v>
      </c>
      <c r="O115" s="3">
        <v>1.0</v>
      </c>
      <c r="P115" s="3">
        <v>0.0</v>
      </c>
      <c r="Q115" s="3">
        <v>1.0</v>
      </c>
      <c r="R115" s="3">
        <v>0.0</v>
      </c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 t="s">
        <v>50</v>
      </c>
      <c r="B116" s="8">
        <v>45717.0</v>
      </c>
      <c r="C116" s="3">
        <v>33605.18</v>
      </c>
      <c r="D116" s="3">
        <v>9225.0</v>
      </c>
      <c r="E116" s="3">
        <v>0.159</v>
      </c>
      <c r="F116" s="3">
        <v>23.0</v>
      </c>
      <c r="G116" s="3">
        <v>88.4</v>
      </c>
      <c r="H116" s="3">
        <v>5.91</v>
      </c>
      <c r="I116" s="3">
        <v>0.0</v>
      </c>
      <c r="J116" s="3">
        <v>2.8</v>
      </c>
      <c r="K116" s="3">
        <v>697287.9</v>
      </c>
      <c r="L116" s="3">
        <v>128208.33</v>
      </c>
      <c r="M116" s="3">
        <v>0.0</v>
      </c>
      <c r="N116" s="3">
        <v>0.0</v>
      </c>
      <c r="O116" s="3">
        <v>1.0</v>
      </c>
      <c r="P116" s="3">
        <v>0.0</v>
      </c>
      <c r="Q116" s="3">
        <v>1.0</v>
      </c>
      <c r="R116" s="3">
        <v>0.0</v>
      </c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 t="s">
        <v>50</v>
      </c>
      <c r="B117" s="8">
        <v>45748.0</v>
      </c>
      <c r="C117" s="3">
        <v>25990.54</v>
      </c>
      <c r="D117" s="3">
        <v>9249.0</v>
      </c>
      <c r="E117" s="3">
        <v>0.139</v>
      </c>
      <c r="F117" s="3">
        <v>23.0</v>
      </c>
      <c r="G117" s="3">
        <v>92.5</v>
      </c>
      <c r="H117" s="3">
        <v>6.37</v>
      </c>
      <c r="I117" s="3">
        <v>0.0</v>
      </c>
      <c r="J117" s="3">
        <v>3.3</v>
      </c>
      <c r="K117" s="3">
        <v>718074.79</v>
      </c>
      <c r="L117" s="3">
        <v>115819.87</v>
      </c>
      <c r="M117" s="3">
        <v>0.0</v>
      </c>
      <c r="N117" s="3">
        <v>0.0</v>
      </c>
      <c r="O117" s="3">
        <v>1.0</v>
      </c>
      <c r="P117" s="3">
        <v>0.0</v>
      </c>
      <c r="Q117" s="3">
        <v>1.0</v>
      </c>
      <c r="R117" s="3">
        <v>0.0</v>
      </c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 t="s">
        <v>51</v>
      </c>
      <c r="B118" s="8">
        <v>45658.0</v>
      </c>
      <c r="C118" s="3">
        <v>43685.14</v>
      </c>
      <c r="D118" s="3">
        <v>7821.0</v>
      </c>
      <c r="E118" s="3">
        <v>0.19</v>
      </c>
      <c r="F118" s="3">
        <v>17.0</v>
      </c>
      <c r="G118" s="3">
        <v>91.0</v>
      </c>
      <c r="H118" s="3">
        <v>2.49</v>
      </c>
      <c r="I118" s="3">
        <v>1.0</v>
      </c>
      <c r="J118" s="3">
        <v>4.7</v>
      </c>
      <c r="K118" s="3">
        <v>714942.43</v>
      </c>
      <c r="L118" s="3">
        <v>94697.71</v>
      </c>
      <c r="M118" s="3">
        <v>0.0</v>
      </c>
      <c r="N118" s="3">
        <v>0.0</v>
      </c>
      <c r="O118" s="3">
        <v>1.0</v>
      </c>
      <c r="P118" s="3">
        <v>0.0</v>
      </c>
      <c r="Q118" s="3">
        <v>0.0</v>
      </c>
      <c r="R118" s="3">
        <v>1.0</v>
      </c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 t="s">
        <v>51</v>
      </c>
      <c r="B119" s="8">
        <v>45689.0</v>
      </c>
      <c r="C119" s="3">
        <v>57360.01</v>
      </c>
      <c r="D119" s="3">
        <v>8434.0</v>
      </c>
      <c r="E119" s="3">
        <v>0.151</v>
      </c>
      <c r="F119" s="3">
        <v>19.0</v>
      </c>
      <c r="G119" s="3">
        <v>84.1</v>
      </c>
      <c r="H119" s="3">
        <v>1.56</v>
      </c>
      <c r="I119" s="3">
        <v>0.0</v>
      </c>
      <c r="J119" s="3">
        <v>4.7</v>
      </c>
      <c r="K119" s="3">
        <v>820519.04</v>
      </c>
      <c r="L119" s="3">
        <v>99035.88</v>
      </c>
      <c r="M119" s="3">
        <v>0.0</v>
      </c>
      <c r="N119" s="3">
        <v>0.0</v>
      </c>
      <c r="O119" s="3">
        <v>1.0</v>
      </c>
      <c r="P119" s="3">
        <v>0.0</v>
      </c>
      <c r="Q119" s="3">
        <v>0.0</v>
      </c>
      <c r="R119" s="3">
        <v>1.0</v>
      </c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 t="s">
        <v>51</v>
      </c>
      <c r="B120" s="8">
        <v>45717.0</v>
      </c>
      <c r="C120" s="3">
        <v>42415.47</v>
      </c>
      <c r="D120" s="3">
        <v>8512.0</v>
      </c>
      <c r="E120" s="3">
        <v>0.133</v>
      </c>
      <c r="F120" s="3">
        <v>18.0</v>
      </c>
      <c r="G120" s="3">
        <v>96.8</v>
      </c>
      <c r="H120" s="3">
        <v>14.95</v>
      </c>
      <c r="I120" s="3">
        <v>0.0</v>
      </c>
      <c r="J120" s="3">
        <v>4.6</v>
      </c>
      <c r="K120" s="3">
        <v>684217.32</v>
      </c>
      <c r="L120" s="3">
        <v>136217.19</v>
      </c>
      <c r="M120" s="3">
        <v>0.0</v>
      </c>
      <c r="N120" s="3">
        <v>0.0</v>
      </c>
      <c r="O120" s="3">
        <v>1.0</v>
      </c>
      <c r="P120" s="3">
        <v>0.0</v>
      </c>
      <c r="Q120" s="3">
        <v>0.0</v>
      </c>
      <c r="R120" s="3">
        <v>1.0</v>
      </c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 t="s">
        <v>51</v>
      </c>
      <c r="B121" s="8">
        <v>45748.0</v>
      </c>
      <c r="C121" s="3">
        <v>54968.98</v>
      </c>
      <c r="D121" s="3">
        <v>7816.0</v>
      </c>
      <c r="E121" s="3">
        <v>0.232</v>
      </c>
      <c r="F121" s="3">
        <v>19.0</v>
      </c>
      <c r="G121" s="3">
        <v>95.7</v>
      </c>
      <c r="H121" s="3">
        <v>7.85</v>
      </c>
      <c r="I121" s="3">
        <v>0.0</v>
      </c>
      <c r="J121" s="3">
        <v>4.7</v>
      </c>
      <c r="K121" s="3">
        <v>735480.19</v>
      </c>
      <c r="L121" s="3">
        <v>88342.11</v>
      </c>
      <c r="M121" s="3">
        <v>0.0</v>
      </c>
      <c r="N121" s="3">
        <v>0.0</v>
      </c>
      <c r="O121" s="3">
        <v>1.0</v>
      </c>
      <c r="P121" s="3">
        <v>0.0</v>
      </c>
      <c r="Q121" s="3">
        <v>0.0</v>
      </c>
      <c r="R121" s="3">
        <v>1.0</v>
      </c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 t="s">
        <v>52</v>
      </c>
      <c r="B122" s="8">
        <v>45658.0</v>
      </c>
      <c r="C122" s="3">
        <v>43896.13</v>
      </c>
      <c r="D122" s="3">
        <v>3853.0</v>
      </c>
      <c r="E122" s="3">
        <v>0.088</v>
      </c>
      <c r="F122" s="3">
        <v>13.0</v>
      </c>
      <c r="G122" s="3">
        <v>83.0</v>
      </c>
      <c r="H122" s="3">
        <v>6.8</v>
      </c>
      <c r="I122" s="3">
        <v>0.0</v>
      </c>
      <c r="J122" s="3">
        <v>4.4</v>
      </c>
      <c r="K122" s="3">
        <v>509484.81</v>
      </c>
      <c r="L122" s="3">
        <v>85742.36</v>
      </c>
      <c r="M122" s="3">
        <v>1.0</v>
      </c>
      <c r="N122" s="3">
        <v>0.0</v>
      </c>
      <c r="O122" s="3">
        <v>0.0</v>
      </c>
      <c r="P122" s="3">
        <v>1.0</v>
      </c>
      <c r="Q122" s="3">
        <v>0.0</v>
      </c>
      <c r="R122" s="3">
        <v>0.0</v>
      </c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 t="s">
        <v>52</v>
      </c>
      <c r="B123" s="8">
        <v>45689.0</v>
      </c>
      <c r="C123" s="3">
        <v>83044.17</v>
      </c>
      <c r="D123" s="3">
        <v>3694.0</v>
      </c>
      <c r="E123" s="3">
        <v>0.0</v>
      </c>
      <c r="F123" s="3">
        <v>14.0</v>
      </c>
      <c r="G123" s="3">
        <v>89.4</v>
      </c>
      <c r="H123" s="3">
        <v>2.2</v>
      </c>
      <c r="I123" s="3">
        <v>0.0</v>
      </c>
      <c r="J123" s="3">
        <v>3.7</v>
      </c>
      <c r="K123" s="3">
        <v>654317.09</v>
      </c>
      <c r="L123" s="3">
        <v>121446.89</v>
      </c>
      <c r="M123" s="3">
        <v>1.0</v>
      </c>
      <c r="N123" s="3">
        <v>0.0</v>
      </c>
      <c r="O123" s="3">
        <v>0.0</v>
      </c>
      <c r="P123" s="3">
        <v>1.0</v>
      </c>
      <c r="Q123" s="3">
        <v>0.0</v>
      </c>
      <c r="R123" s="3">
        <v>0.0</v>
      </c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 t="s">
        <v>52</v>
      </c>
      <c r="B124" s="8">
        <v>45717.0</v>
      </c>
      <c r="C124" s="3">
        <v>48396.13</v>
      </c>
      <c r="D124" s="3">
        <v>4423.0</v>
      </c>
      <c r="E124" s="3">
        <v>0.069</v>
      </c>
      <c r="F124" s="3">
        <v>15.0</v>
      </c>
      <c r="G124" s="3">
        <v>85.7</v>
      </c>
      <c r="H124" s="3">
        <v>1.88</v>
      </c>
      <c r="I124" s="3">
        <v>0.0</v>
      </c>
      <c r="J124" s="3">
        <v>3.9</v>
      </c>
      <c r="K124" s="3">
        <v>557487.26</v>
      </c>
      <c r="L124" s="3">
        <v>76432.19</v>
      </c>
      <c r="M124" s="3">
        <v>1.0</v>
      </c>
      <c r="N124" s="3">
        <v>0.0</v>
      </c>
      <c r="O124" s="3">
        <v>0.0</v>
      </c>
      <c r="P124" s="3">
        <v>1.0</v>
      </c>
      <c r="Q124" s="3">
        <v>0.0</v>
      </c>
      <c r="R124" s="3">
        <v>0.0</v>
      </c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 t="s">
        <v>52</v>
      </c>
      <c r="B125" s="8">
        <v>45748.0</v>
      </c>
      <c r="C125" s="3">
        <v>19063.48</v>
      </c>
      <c r="D125" s="3">
        <v>1906.0</v>
      </c>
      <c r="E125" s="3">
        <v>0.216</v>
      </c>
      <c r="F125" s="3">
        <v>10.0</v>
      </c>
      <c r="G125" s="3">
        <v>97.8</v>
      </c>
      <c r="H125" s="3">
        <v>15.79</v>
      </c>
      <c r="I125" s="3">
        <v>0.0</v>
      </c>
      <c r="J125" s="3">
        <v>4.4</v>
      </c>
      <c r="K125" s="3">
        <v>441275.42</v>
      </c>
      <c r="L125" s="3">
        <v>58234.87</v>
      </c>
      <c r="M125" s="3">
        <v>1.0</v>
      </c>
      <c r="N125" s="3">
        <v>0.0</v>
      </c>
      <c r="O125" s="3">
        <v>0.0</v>
      </c>
      <c r="P125" s="3">
        <v>1.0</v>
      </c>
      <c r="Q125" s="3">
        <v>0.0</v>
      </c>
      <c r="R125" s="3">
        <v>0.0</v>
      </c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 t="s">
        <v>53</v>
      </c>
      <c r="B126" s="8">
        <v>45658.0</v>
      </c>
      <c r="C126" s="3">
        <v>61541.21</v>
      </c>
      <c r="D126" s="3">
        <v>10396.0</v>
      </c>
      <c r="E126" s="3">
        <v>0.123</v>
      </c>
      <c r="F126" s="3">
        <v>25.0</v>
      </c>
      <c r="G126" s="3">
        <v>88.1</v>
      </c>
      <c r="H126" s="3">
        <v>2.34</v>
      </c>
      <c r="I126" s="3">
        <v>1.0</v>
      </c>
      <c r="J126" s="3">
        <v>4.8</v>
      </c>
      <c r="K126" s="3">
        <v>914544.17</v>
      </c>
      <c r="L126" s="3">
        <v>79831.73</v>
      </c>
      <c r="M126" s="3">
        <v>0.0</v>
      </c>
      <c r="N126" s="3">
        <v>1.0</v>
      </c>
      <c r="O126" s="3">
        <v>0.0</v>
      </c>
      <c r="P126" s="3">
        <v>1.0</v>
      </c>
      <c r="Q126" s="3">
        <v>0.0</v>
      </c>
      <c r="R126" s="3">
        <v>0.0</v>
      </c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 t="s">
        <v>53</v>
      </c>
      <c r="B127" s="8">
        <v>45689.0</v>
      </c>
      <c r="C127" s="3">
        <v>44747.0</v>
      </c>
      <c r="D127" s="3">
        <v>11076.0</v>
      </c>
      <c r="E127" s="3">
        <v>0.176</v>
      </c>
      <c r="F127" s="3">
        <v>27.0</v>
      </c>
      <c r="G127" s="3">
        <v>98.3</v>
      </c>
      <c r="H127" s="3">
        <v>0.54</v>
      </c>
      <c r="I127" s="3">
        <v>0.0</v>
      </c>
      <c r="J127" s="3">
        <v>4.4</v>
      </c>
      <c r="K127" s="3">
        <v>842439.67</v>
      </c>
      <c r="L127" s="3">
        <v>169983.63</v>
      </c>
      <c r="M127" s="3">
        <v>0.0</v>
      </c>
      <c r="N127" s="3">
        <v>1.0</v>
      </c>
      <c r="O127" s="3">
        <v>0.0</v>
      </c>
      <c r="P127" s="3">
        <v>1.0</v>
      </c>
      <c r="Q127" s="3">
        <v>0.0</v>
      </c>
      <c r="R127" s="3">
        <v>0.0</v>
      </c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 t="s">
        <v>53</v>
      </c>
      <c r="B128" s="8">
        <v>45717.0</v>
      </c>
      <c r="C128" s="3">
        <v>56517.9</v>
      </c>
      <c r="D128" s="3">
        <v>9574.0</v>
      </c>
      <c r="E128" s="3">
        <v>0.204</v>
      </c>
      <c r="F128" s="3">
        <v>20.0</v>
      </c>
      <c r="G128" s="3">
        <v>88.2</v>
      </c>
      <c r="H128" s="3">
        <v>5.37</v>
      </c>
      <c r="I128" s="3">
        <v>1.0</v>
      </c>
      <c r="J128" s="3">
        <v>4.9</v>
      </c>
      <c r="K128" s="3">
        <v>842157.92</v>
      </c>
      <c r="L128" s="3">
        <v>107348.22</v>
      </c>
      <c r="M128" s="3">
        <v>0.0</v>
      </c>
      <c r="N128" s="3">
        <v>1.0</v>
      </c>
      <c r="O128" s="3">
        <v>0.0</v>
      </c>
      <c r="P128" s="3">
        <v>1.0</v>
      </c>
      <c r="Q128" s="3">
        <v>0.0</v>
      </c>
      <c r="R128" s="3">
        <v>0.0</v>
      </c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 t="s">
        <v>53</v>
      </c>
      <c r="B129" s="8">
        <v>45748.0</v>
      </c>
      <c r="C129" s="3">
        <v>37828.5</v>
      </c>
      <c r="D129" s="3">
        <v>8221.0</v>
      </c>
      <c r="E129" s="3">
        <v>0.096</v>
      </c>
      <c r="F129" s="3">
        <v>19.0</v>
      </c>
      <c r="G129" s="3">
        <v>81.5</v>
      </c>
      <c r="H129" s="3">
        <v>3.19</v>
      </c>
      <c r="I129" s="3">
        <v>0.0</v>
      </c>
      <c r="J129" s="3">
        <v>4.8</v>
      </c>
      <c r="K129" s="3">
        <v>697155.3</v>
      </c>
      <c r="L129" s="3">
        <v>136408.54</v>
      </c>
      <c r="M129" s="3">
        <v>0.0</v>
      </c>
      <c r="N129" s="3">
        <v>1.0</v>
      </c>
      <c r="O129" s="3">
        <v>0.0</v>
      </c>
      <c r="P129" s="3">
        <v>1.0</v>
      </c>
      <c r="Q129" s="3">
        <v>0.0</v>
      </c>
      <c r="R129" s="3">
        <v>0.0</v>
      </c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 t="s">
        <v>54</v>
      </c>
      <c r="B130" s="8">
        <v>45658.0</v>
      </c>
      <c r="C130" s="3">
        <v>66250.53</v>
      </c>
      <c r="D130" s="3">
        <v>10618.0</v>
      </c>
      <c r="E130" s="3">
        <v>0.142</v>
      </c>
      <c r="F130" s="3">
        <v>27.0</v>
      </c>
      <c r="G130" s="3">
        <v>88.3</v>
      </c>
      <c r="H130" s="3">
        <v>1.1</v>
      </c>
      <c r="I130" s="3">
        <v>1.0</v>
      </c>
      <c r="J130" s="3">
        <v>4.4</v>
      </c>
      <c r="K130" s="3">
        <v>849018.3</v>
      </c>
      <c r="L130" s="3">
        <v>149035.13</v>
      </c>
      <c r="M130" s="3">
        <v>0.0</v>
      </c>
      <c r="N130" s="3">
        <v>0.0</v>
      </c>
      <c r="O130" s="3">
        <v>0.0</v>
      </c>
      <c r="P130" s="3">
        <v>1.0</v>
      </c>
      <c r="Q130" s="3">
        <v>0.0</v>
      </c>
      <c r="R130" s="3">
        <v>0.0</v>
      </c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 t="s">
        <v>54</v>
      </c>
      <c r="B131" s="8">
        <v>45689.0</v>
      </c>
      <c r="C131" s="3">
        <v>68410.93</v>
      </c>
      <c r="D131" s="3">
        <v>10596.0</v>
      </c>
      <c r="E131" s="3">
        <v>0.207</v>
      </c>
      <c r="F131" s="3">
        <v>25.0</v>
      </c>
      <c r="G131" s="3">
        <v>81.2</v>
      </c>
      <c r="H131" s="3">
        <v>0.21</v>
      </c>
      <c r="I131" s="3">
        <v>0.0</v>
      </c>
      <c r="J131" s="3">
        <v>4.0</v>
      </c>
      <c r="K131" s="3">
        <v>801830.35</v>
      </c>
      <c r="L131" s="3">
        <v>114875.32</v>
      </c>
      <c r="M131" s="3">
        <v>0.0</v>
      </c>
      <c r="N131" s="3">
        <v>0.0</v>
      </c>
      <c r="O131" s="3">
        <v>0.0</v>
      </c>
      <c r="P131" s="3">
        <v>1.0</v>
      </c>
      <c r="Q131" s="3">
        <v>0.0</v>
      </c>
      <c r="R131" s="3">
        <v>0.0</v>
      </c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 t="s">
        <v>54</v>
      </c>
      <c r="B132" s="8">
        <v>45717.0</v>
      </c>
      <c r="C132" s="3">
        <v>50735.63</v>
      </c>
      <c r="D132" s="3">
        <v>9619.0</v>
      </c>
      <c r="E132" s="3">
        <v>0.144</v>
      </c>
      <c r="F132" s="3">
        <v>19.0</v>
      </c>
      <c r="G132" s="3">
        <v>93.8</v>
      </c>
      <c r="H132" s="3">
        <v>5.12</v>
      </c>
      <c r="I132" s="3">
        <v>1.0</v>
      </c>
      <c r="J132" s="3">
        <v>4.5</v>
      </c>
      <c r="K132" s="3">
        <v>725235.28</v>
      </c>
      <c r="L132" s="3">
        <v>121632.24</v>
      </c>
      <c r="M132" s="3">
        <v>0.0</v>
      </c>
      <c r="N132" s="3">
        <v>0.0</v>
      </c>
      <c r="O132" s="3">
        <v>0.0</v>
      </c>
      <c r="P132" s="3">
        <v>1.0</v>
      </c>
      <c r="Q132" s="3">
        <v>0.0</v>
      </c>
      <c r="R132" s="3">
        <v>0.0</v>
      </c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 t="s">
        <v>54</v>
      </c>
      <c r="B133" s="8">
        <v>45748.0</v>
      </c>
      <c r="C133" s="3">
        <v>66455.8</v>
      </c>
      <c r="D133" s="3">
        <v>10836.0</v>
      </c>
      <c r="E133" s="3">
        <v>0.089</v>
      </c>
      <c r="F133" s="3">
        <v>25.0</v>
      </c>
      <c r="G133" s="3">
        <v>85.0</v>
      </c>
      <c r="H133" s="3">
        <v>9.77</v>
      </c>
      <c r="I133" s="3">
        <v>0.0</v>
      </c>
      <c r="J133" s="3">
        <v>4.5</v>
      </c>
      <c r="K133" s="3">
        <v>811452.72</v>
      </c>
      <c r="L133" s="3">
        <v>131325.67</v>
      </c>
      <c r="M133" s="3">
        <v>0.0</v>
      </c>
      <c r="N133" s="3">
        <v>0.0</v>
      </c>
      <c r="O133" s="3">
        <v>0.0</v>
      </c>
      <c r="P133" s="3">
        <v>1.0</v>
      </c>
      <c r="Q133" s="3">
        <v>0.0</v>
      </c>
      <c r="R133" s="3">
        <v>0.0</v>
      </c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 t="s">
        <v>55</v>
      </c>
      <c r="B134" s="8">
        <v>45658.0</v>
      </c>
      <c r="C134" s="3">
        <v>70276.28</v>
      </c>
      <c r="D134" s="3">
        <v>3043.0</v>
      </c>
      <c r="E134" s="3">
        <v>0.079</v>
      </c>
      <c r="F134" s="3">
        <v>9.0</v>
      </c>
      <c r="G134" s="3">
        <v>87.9</v>
      </c>
      <c r="H134" s="3">
        <v>3.77</v>
      </c>
      <c r="I134" s="3">
        <v>0.0</v>
      </c>
      <c r="J134" s="3">
        <v>4.4</v>
      </c>
      <c r="K134" s="3">
        <v>527300.13</v>
      </c>
      <c r="L134" s="3">
        <v>84197.87</v>
      </c>
      <c r="M134" s="3">
        <v>1.0</v>
      </c>
      <c r="N134" s="3">
        <v>0.0</v>
      </c>
      <c r="O134" s="3">
        <v>0.0</v>
      </c>
      <c r="P134" s="3">
        <v>1.0</v>
      </c>
      <c r="Q134" s="3">
        <v>0.0</v>
      </c>
      <c r="R134" s="3">
        <v>0.0</v>
      </c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 t="s">
        <v>55</v>
      </c>
      <c r="B135" s="8">
        <v>45689.0</v>
      </c>
      <c r="C135" s="3">
        <v>22071.64</v>
      </c>
      <c r="D135" s="3">
        <v>1814.0</v>
      </c>
      <c r="E135" s="3">
        <v>0.196</v>
      </c>
      <c r="F135" s="3">
        <v>8.0</v>
      </c>
      <c r="G135" s="3">
        <v>81.1</v>
      </c>
      <c r="H135" s="3">
        <v>0.78</v>
      </c>
      <c r="I135" s="3">
        <v>0.0</v>
      </c>
      <c r="J135" s="3">
        <v>3.9</v>
      </c>
      <c r="K135" s="3">
        <v>400831.65</v>
      </c>
      <c r="L135" s="3">
        <v>70979.31</v>
      </c>
      <c r="M135" s="3">
        <v>1.0</v>
      </c>
      <c r="N135" s="3">
        <v>0.0</v>
      </c>
      <c r="O135" s="3">
        <v>0.0</v>
      </c>
      <c r="P135" s="3">
        <v>1.0</v>
      </c>
      <c r="Q135" s="3">
        <v>0.0</v>
      </c>
      <c r="R135" s="3">
        <v>0.0</v>
      </c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 t="s">
        <v>55</v>
      </c>
      <c r="B136" s="8">
        <v>45717.0</v>
      </c>
      <c r="C136" s="3">
        <v>52285.45</v>
      </c>
      <c r="D136" s="3">
        <v>3618.0</v>
      </c>
      <c r="E136" s="3">
        <v>0.086</v>
      </c>
      <c r="F136" s="3">
        <v>11.0</v>
      </c>
      <c r="G136" s="3">
        <v>95.6</v>
      </c>
      <c r="H136" s="3">
        <v>5.17</v>
      </c>
      <c r="I136" s="3">
        <v>1.0</v>
      </c>
      <c r="J136" s="3">
        <v>4.4</v>
      </c>
      <c r="K136" s="3">
        <v>593247.25</v>
      </c>
      <c r="L136" s="3">
        <v>81240.29</v>
      </c>
      <c r="M136" s="3">
        <v>1.0</v>
      </c>
      <c r="N136" s="3">
        <v>0.0</v>
      </c>
      <c r="O136" s="3">
        <v>0.0</v>
      </c>
      <c r="P136" s="3">
        <v>1.0</v>
      </c>
      <c r="Q136" s="3">
        <v>0.0</v>
      </c>
      <c r="R136" s="3">
        <v>0.0</v>
      </c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 t="s">
        <v>55</v>
      </c>
      <c r="B137" s="8">
        <v>45748.0</v>
      </c>
      <c r="C137" s="3">
        <v>70366.76</v>
      </c>
      <c r="D137" s="3">
        <v>1963.0</v>
      </c>
      <c r="E137" s="3">
        <v>0.182</v>
      </c>
      <c r="F137" s="3">
        <v>8.0</v>
      </c>
      <c r="G137" s="3">
        <v>89.8</v>
      </c>
      <c r="H137" s="3">
        <v>3.2</v>
      </c>
      <c r="I137" s="3">
        <v>0.0</v>
      </c>
      <c r="J137" s="3">
        <v>4.6</v>
      </c>
      <c r="K137" s="3">
        <v>529075.95</v>
      </c>
      <c r="L137" s="3">
        <v>95978.83</v>
      </c>
      <c r="M137" s="3">
        <v>1.0</v>
      </c>
      <c r="N137" s="3">
        <v>0.0</v>
      </c>
      <c r="O137" s="3">
        <v>0.0</v>
      </c>
      <c r="P137" s="3">
        <v>1.0</v>
      </c>
      <c r="Q137" s="3">
        <v>0.0</v>
      </c>
      <c r="R137" s="3">
        <v>0.0</v>
      </c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 t="s">
        <v>56</v>
      </c>
      <c r="B138" s="8">
        <v>45658.0</v>
      </c>
      <c r="C138" s="3">
        <v>71320.66</v>
      </c>
      <c r="D138" s="3">
        <v>7888.0</v>
      </c>
      <c r="E138" s="3">
        <v>0.048</v>
      </c>
      <c r="F138" s="3">
        <v>20.0</v>
      </c>
      <c r="G138" s="3">
        <v>78.1</v>
      </c>
      <c r="H138" s="3">
        <v>3.4</v>
      </c>
      <c r="I138" s="3">
        <v>0.0</v>
      </c>
      <c r="J138" s="3">
        <v>3.9</v>
      </c>
      <c r="K138" s="3">
        <v>633638.03</v>
      </c>
      <c r="L138" s="3">
        <v>99402.01</v>
      </c>
      <c r="M138" s="3">
        <v>0.0</v>
      </c>
      <c r="N138" s="3">
        <v>1.0</v>
      </c>
      <c r="O138" s="3">
        <v>0.0</v>
      </c>
      <c r="P138" s="3">
        <v>0.0</v>
      </c>
      <c r="Q138" s="3">
        <v>0.0</v>
      </c>
      <c r="R138" s="3">
        <v>1.0</v>
      </c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 t="s">
        <v>56</v>
      </c>
      <c r="B139" s="8">
        <v>45689.0</v>
      </c>
      <c r="C139" s="3">
        <v>75109.67</v>
      </c>
      <c r="D139" s="3">
        <v>6244.0</v>
      </c>
      <c r="E139" s="3">
        <v>0.079</v>
      </c>
      <c r="F139" s="3">
        <v>15.0</v>
      </c>
      <c r="G139" s="3">
        <v>96.3</v>
      </c>
      <c r="H139" s="3">
        <v>7.38</v>
      </c>
      <c r="I139" s="3">
        <v>0.0</v>
      </c>
      <c r="J139" s="3">
        <v>3.7</v>
      </c>
      <c r="K139" s="3">
        <v>743348.84</v>
      </c>
      <c r="L139" s="3">
        <v>104186.09</v>
      </c>
      <c r="M139" s="3">
        <v>0.0</v>
      </c>
      <c r="N139" s="3">
        <v>1.0</v>
      </c>
      <c r="O139" s="3">
        <v>0.0</v>
      </c>
      <c r="P139" s="3">
        <v>0.0</v>
      </c>
      <c r="Q139" s="3">
        <v>0.0</v>
      </c>
      <c r="R139" s="3">
        <v>1.0</v>
      </c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 t="s">
        <v>56</v>
      </c>
      <c r="B140" s="8">
        <v>45717.0</v>
      </c>
      <c r="C140" s="3">
        <v>69779.0</v>
      </c>
      <c r="D140" s="3">
        <v>6544.0</v>
      </c>
      <c r="E140" s="3">
        <v>0.152</v>
      </c>
      <c r="F140" s="3">
        <v>18.0</v>
      </c>
      <c r="G140" s="3">
        <v>90.2</v>
      </c>
      <c r="H140" s="3">
        <v>0.85</v>
      </c>
      <c r="I140" s="3">
        <v>1.0</v>
      </c>
      <c r="J140" s="3">
        <v>3.3</v>
      </c>
      <c r="K140" s="3">
        <v>758827.64</v>
      </c>
      <c r="L140" s="3">
        <v>161439.48</v>
      </c>
      <c r="M140" s="3">
        <v>0.0</v>
      </c>
      <c r="N140" s="3">
        <v>1.0</v>
      </c>
      <c r="O140" s="3">
        <v>0.0</v>
      </c>
      <c r="P140" s="3">
        <v>0.0</v>
      </c>
      <c r="Q140" s="3">
        <v>0.0</v>
      </c>
      <c r="R140" s="3">
        <v>1.0</v>
      </c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 t="s">
        <v>56</v>
      </c>
      <c r="B141" s="8">
        <v>45748.0</v>
      </c>
      <c r="C141" s="3">
        <v>44211.95</v>
      </c>
      <c r="D141" s="3">
        <v>5465.0</v>
      </c>
      <c r="E141" s="3">
        <v>0.187</v>
      </c>
      <c r="F141" s="3">
        <v>12.0</v>
      </c>
      <c r="G141" s="3">
        <v>90.0</v>
      </c>
      <c r="H141" s="3">
        <v>2.89</v>
      </c>
      <c r="I141" s="3">
        <v>0.0</v>
      </c>
      <c r="J141" s="3">
        <v>3.6</v>
      </c>
      <c r="K141" s="3">
        <v>646559.71</v>
      </c>
      <c r="L141" s="3">
        <v>97981.75</v>
      </c>
      <c r="M141" s="3">
        <v>0.0</v>
      </c>
      <c r="N141" s="3">
        <v>1.0</v>
      </c>
      <c r="O141" s="3">
        <v>0.0</v>
      </c>
      <c r="P141" s="3">
        <v>0.0</v>
      </c>
      <c r="Q141" s="3">
        <v>0.0</v>
      </c>
      <c r="R141" s="3">
        <v>1.0</v>
      </c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 t="s">
        <v>57</v>
      </c>
      <c r="B142" s="8">
        <v>45658.0</v>
      </c>
      <c r="C142" s="3">
        <v>51430.31</v>
      </c>
      <c r="D142" s="3">
        <v>6427.0</v>
      </c>
      <c r="E142" s="3">
        <v>0.234</v>
      </c>
      <c r="F142" s="3">
        <v>14.0</v>
      </c>
      <c r="G142" s="3">
        <v>88.8</v>
      </c>
      <c r="H142" s="3">
        <v>0.77</v>
      </c>
      <c r="I142" s="3">
        <v>0.0</v>
      </c>
      <c r="J142" s="3">
        <v>4.1</v>
      </c>
      <c r="K142" s="3">
        <v>715890.53</v>
      </c>
      <c r="L142" s="3">
        <v>109032.15</v>
      </c>
      <c r="M142" s="3">
        <v>0.0</v>
      </c>
      <c r="N142" s="3">
        <v>0.0</v>
      </c>
      <c r="O142" s="3">
        <v>1.0</v>
      </c>
      <c r="P142" s="3">
        <v>1.0</v>
      </c>
      <c r="Q142" s="3">
        <v>0.0</v>
      </c>
      <c r="R142" s="3">
        <v>0.0</v>
      </c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 t="s">
        <v>57</v>
      </c>
      <c r="B143" s="8">
        <v>45689.0</v>
      </c>
      <c r="C143" s="3">
        <v>45706.49</v>
      </c>
      <c r="D143" s="3">
        <v>6704.0</v>
      </c>
      <c r="E143" s="3">
        <v>0.038</v>
      </c>
      <c r="F143" s="3">
        <v>15.0</v>
      </c>
      <c r="G143" s="3">
        <v>94.2</v>
      </c>
      <c r="H143" s="3">
        <v>2.92</v>
      </c>
      <c r="I143" s="3">
        <v>0.0</v>
      </c>
      <c r="J143" s="3">
        <v>4.2</v>
      </c>
      <c r="K143" s="3">
        <v>715097.57</v>
      </c>
      <c r="L143" s="3">
        <v>151875.86</v>
      </c>
      <c r="M143" s="3">
        <v>0.0</v>
      </c>
      <c r="N143" s="3">
        <v>0.0</v>
      </c>
      <c r="O143" s="3">
        <v>1.0</v>
      </c>
      <c r="P143" s="3">
        <v>1.0</v>
      </c>
      <c r="Q143" s="3">
        <v>0.0</v>
      </c>
      <c r="R143" s="3">
        <v>0.0</v>
      </c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 t="s">
        <v>57</v>
      </c>
      <c r="B144" s="8">
        <v>45717.0</v>
      </c>
      <c r="C144" s="3">
        <v>44034.6</v>
      </c>
      <c r="D144" s="3">
        <v>5645.0</v>
      </c>
      <c r="E144" s="3">
        <v>0.069</v>
      </c>
      <c r="F144" s="3">
        <v>18.0</v>
      </c>
      <c r="G144" s="3">
        <v>88.5</v>
      </c>
      <c r="H144" s="3">
        <v>3.07</v>
      </c>
      <c r="I144" s="3">
        <v>0.0</v>
      </c>
      <c r="J144" s="3">
        <v>3.8</v>
      </c>
      <c r="K144" s="3">
        <v>682639.28</v>
      </c>
      <c r="L144" s="3">
        <v>77557.53</v>
      </c>
      <c r="M144" s="3">
        <v>0.0</v>
      </c>
      <c r="N144" s="3">
        <v>0.0</v>
      </c>
      <c r="O144" s="3">
        <v>1.0</v>
      </c>
      <c r="P144" s="3">
        <v>1.0</v>
      </c>
      <c r="Q144" s="3">
        <v>0.0</v>
      </c>
      <c r="R144" s="3">
        <v>0.0</v>
      </c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 t="s">
        <v>57</v>
      </c>
      <c r="B145" s="8">
        <v>45748.0</v>
      </c>
      <c r="C145" s="3">
        <v>50198.12</v>
      </c>
      <c r="D145" s="3">
        <v>6089.0</v>
      </c>
      <c r="E145" s="3">
        <v>0.182</v>
      </c>
      <c r="F145" s="3">
        <v>19.0</v>
      </c>
      <c r="G145" s="3">
        <v>94.0</v>
      </c>
      <c r="H145" s="3">
        <v>9.7</v>
      </c>
      <c r="I145" s="3">
        <v>0.0</v>
      </c>
      <c r="J145" s="3">
        <v>3.9</v>
      </c>
      <c r="K145" s="3">
        <v>695098.51</v>
      </c>
      <c r="L145" s="3">
        <v>108192.75</v>
      </c>
      <c r="M145" s="3">
        <v>0.0</v>
      </c>
      <c r="N145" s="3">
        <v>0.0</v>
      </c>
      <c r="O145" s="3">
        <v>1.0</v>
      </c>
      <c r="P145" s="3">
        <v>1.0</v>
      </c>
      <c r="Q145" s="3">
        <v>0.0</v>
      </c>
      <c r="R145" s="3">
        <v>0.0</v>
      </c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 t="s">
        <v>58</v>
      </c>
      <c r="B146" s="8">
        <v>45658.0</v>
      </c>
      <c r="C146" s="3">
        <v>70488.2</v>
      </c>
      <c r="D146" s="3">
        <v>4312.0</v>
      </c>
      <c r="E146" s="3">
        <v>0.169</v>
      </c>
      <c r="F146" s="3">
        <v>12.0</v>
      </c>
      <c r="G146" s="3">
        <v>90.2</v>
      </c>
      <c r="H146" s="3">
        <v>3.71</v>
      </c>
      <c r="I146" s="3">
        <v>0.0</v>
      </c>
      <c r="J146" s="3">
        <v>3.2</v>
      </c>
      <c r="K146" s="3">
        <v>577732.57</v>
      </c>
      <c r="L146" s="3">
        <v>93804.27</v>
      </c>
      <c r="M146" s="3">
        <v>1.0</v>
      </c>
      <c r="N146" s="3">
        <v>0.0</v>
      </c>
      <c r="O146" s="3">
        <v>0.0</v>
      </c>
      <c r="P146" s="3">
        <v>0.0</v>
      </c>
      <c r="Q146" s="3">
        <v>0.0</v>
      </c>
      <c r="R146" s="3">
        <v>1.0</v>
      </c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 t="s">
        <v>58</v>
      </c>
      <c r="B147" s="8">
        <v>45689.0</v>
      </c>
      <c r="C147" s="3">
        <v>50909.27</v>
      </c>
      <c r="D147" s="3">
        <v>3152.0</v>
      </c>
      <c r="E147" s="3">
        <v>0.06</v>
      </c>
      <c r="F147" s="3">
        <v>13.0</v>
      </c>
      <c r="G147" s="3">
        <v>93.7</v>
      </c>
      <c r="H147" s="3">
        <v>10.79</v>
      </c>
      <c r="I147" s="3">
        <v>0.0</v>
      </c>
      <c r="J147" s="3">
        <v>3.5</v>
      </c>
      <c r="K147" s="3">
        <v>537058.33</v>
      </c>
      <c r="L147" s="3">
        <v>93555.71</v>
      </c>
      <c r="M147" s="3">
        <v>1.0</v>
      </c>
      <c r="N147" s="3">
        <v>0.0</v>
      </c>
      <c r="O147" s="3">
        <v>0.0</v>
      </c>
      <c r="P147" s="3">
        <v>0.0</v>
      </c>
      <c r="Q147" s="3">
        <v>0.0</v>
      </c>
      <c r="R147" s="3">
        <v>1.0</v>
      </c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 t="s">
        <v>58</v>
      </c>
      <c r="B148" s="8">
        <v>45717.0</v>
      </c>
      <c r="C148" s="3">
        <v>53351.7</v>
      </c>
      <c r="D148" s="3">
        <v>4259.0</v>
      </c>
      <c r="E148" s="3">
        <v>0.156</v>
      </c>
      <c r="F148" s="3">
        <v>15.0</v>
      </c>
      <c r="G148" s="3">
        <v>93.7</v>
      </c>
      <c r="H148" s="3">
        <v>6.03</v>
      </c>
      <c r="I148" s="3">
        <v>0.0</v>
      </c>
      <c r="J148" s="3">
        <v>3.4</v>
      </c>
      <c r="K148" s="3">
        <v>601568.87</v>
      </c>
      <c r="L148" s="3">
        <v>91634.82</v>
      </c>
      <c r="M148" s="3">
        <v>1.0</v>
      </c>
      <c r="N148" s="3">
        <v>0.0</v>
      </c>
      <c r="O148" s="3">
        <v>0.0</v>
      </c>
      <c r="P148" s="3">
        <v>0.0</v>
      </c>
      <c r="Q148" s="3">
        <v>0.0</v>
      </c>
      <c r="R148" s="3">
        <v>1.0</v>
      </c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 t="s">
        <v>58</v>
      </c>
      <c r="B149" s="8">
        <v>45748.0</v>
      </c>
      <c r="C149" s="3">
        <v>60322.4</v>
      </c>
      <c r="D149" s="3">
        <v>3350.0</v>
      </c>
      <c r="E149" s="3">
        <v>0.108</v>
      </c>
      <c r="F149" s="3">
        <v>12.0</v>
      </c>
      <c r="G149" s="3">
        <v>89.4</v>
      </c>
      <c r="H149" s="3">
        <v>4.92</v>
      </c>
      <c r="I149" s="3">
        <v>0.0</v>
      </c>
      <c r="J149" s="3">
        <v>3.4</v>
      </c>
      <c r="K149" s="3">
        <v>570964.84</v>
      </c>
      <c r="L149" s="3">
        <v>81331.07</v>
      </c>
      <c r="M149" s="3">
        <v>1.0</v>
      </c>
      <c r="N149" s="3">
        <v>0.0</v>
      </c>
      <c r="O149" s="3">
        <v>0.0</v>
      </c>
      <c r="P149" s="3">
        <v>0.0</v>
      </c>
      <c r="Q149" s="3">
        <v>0.0</v>
      </c>
      <c r="R149" s="3">
        <v>1.0</v>
      </c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 t="s">
        <v>59</v>
      </c>
      <c r="B150" s="8">
        <v>45658.0</v>
      </c>
      <c r="C150" s="3">
        <v>51575.68</v>
      </c>
      <c r="D150" s="3">
        <v>5329.0</v>
      </c>
      <c r="E150" s="3">
        <v>0.047</v>
      </c>
      <c r="F150" s="3">
        <v>17.0</v>
      </c>
      <c r="G150" s="3">
        <v>88.1</v>
      </c>
      <c r="H150" s="3">
        <v>19.78</v>
      </c>
      <c r="I150" s="3">
        <v>0.0</v>
      </c>
      <c r="J150" s="3">
        <v>3.8</v>
      </c>
      <c r="K150" s="3">
        <v>614024.91</v>
      </c>
      <c r="L150" s="3">
        <v>84828.93</v>
      </c>
      <c r="M150" s="3">
        <v>0.0</v>
      </c>
      <c r="N150" s="3">
        <v>1.0</v>
      </c>
      <c r="O150" s="3">
        <v>0.0</v>
      </c>
      <c r="P150" s="3">
        <v>0.0</v>
      </c>
      <c r="Q150" s="3">
        <v>1.0</v>
      </c>
      <c r="R150" s="3">
        <v>0.0</v>
      </c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 t="s">
        <v>59</v>
      </c>
      <c r="B151" s="8">
        <v>45689.0</v>
      </c>
      <c r="C151" s="3">
        <v>43319.94</v>
      </c>
      <c r="D151" s="3">
        <v>6551.0</v>
      </c>
      <c r="E151" s="3">
        <v>0.044</v>
      </c>
      <c r="F151" s="3">
        <v>13.0</v>
      </c>
      <c r="G151" s="3">
        <v>99.0</v>
      </c>
      <c r="H151" s="3">
        <v>5.45</v>
      </c>
      <c r="I151" s="3">
        <v>0.0</v>
      </c>
      <c r="J151" s="3">
        <v>4.1</v>
      </c>
      <c r="K151" s="3">
        <v>712868.35</v>
      </c>
      <c r="L151" s="3">
        <v>133650.51</v>
      </c>
      <c r="M151" s="3">
        <v>0.0</v>
      </c>
      <c r="N151" s="3">
        <v>1.0</v>
      </c>
      <c r="O151" s="3">
        <v>0.0</v>
      </c>
      <c r="P151" s="3">
        <v>0.0</v>
      </c>
      <c r="Q151" s="3">
        <v>1.0</v>
      </c>
      <c r="R151" s="3">
        <v>0.0</v>
      </c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 t="s">
        <v>59</v>
      </c>
      <c r="B152" s="8">
        <v>45717.0</v>
      </c>
      <c r="C152" s="3">
        <v>47093.55</v>
      </c>
      <c r="D152" s="3">
        <v>5550.0</v>
      </c>
      <c r="E152" s="3">
        <v>0.1</v>
      </c>
      <c r="F152" s="3">
        <v>12.0</v>
      </c>
      <c r="G152" s="3">
        <v>95.0</v>
      </c>
      <c r="H152" s="3">
        <v>2.33</v>
      </c>
      <c r="I152" s="3">
        <v>1.0</v>
      </c>
      <c r="J152" s="3">
        <v>3.7</v>
      </c>
      <c r="K152" s="3">
        <v>696744.15</v>
      </c>
      <c r="L152" s="3">
        <v>152230.09</v>
      </c>
      <c r="M152" s="3">
        <v>0.0</v>
      </c>
      <c r="N152" s="3">
        <v>1.0</v>
      </c>
      <c r="O152" s="3">
        <v>0.0</v>
      </c>
      <c r="P152" s="3">
        <v>0.0</v>
      </c>
      <c r="Q152" s="3">
        <v>1.0</v>
      </c>
      <c r="R152" s="3">
        <v>0.0</v>
      </c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 t="s">
        <v>59</v>
      </c>
      <c r="B153" s="8">
        <v>45748.0</v>
      </c>
      <c r="C153" s="3">
        <v>71855.09</v>
      </c>
      <c r="D153" s="3">
        <v>5911.0</v>
      </c>
      <c r="E153" s="3">
        <v>0.197</v>
      </c>
      <c r="F153" s="3">
        <v>15.0</v>
      </c>
      <c r="G153" s="3">
        <v>94.3</v>
      </c>
      <c r="H153" s="3">
        <v>3.55</v>
      </c>
      <c r="I153" s="3">
        <v>0.0</v>
      </c>
      <c r="J153" s="3">
        <v>4.1</v>
      </c>
      <c r="K153" s="3">
        <v>725847.99</v>
      </c>
      <c r="L153" s="3">
        <v>122698.73</v>
      </c>
      <c r="M153" s="3">
        <v>0.0</v>
      </c>
      <c r="N153" s="3">
        <v>1.0</v>
      </c>
      <c r="O153" s="3">
        <v>0.0</v>
      </c>
      <c r="P153" s="3">
        <v>0.0</v>
      </c>
      <c r="Q153" s="3">
        <v>1.0</v>
      </c>
      <c r="R153" s="3">
        <v>0.0</v>
      </c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 t="s">
        <v>60</v>
      </c>
      <c r="B154" s="8">
        <v>45658.0</v>
      </c>
      <c r="C154" s="3">
        <v>75645.23</v>
      </c>
      <c r="D154" s="3">
        <v>9674.0</v>
      </c>
      <c r="E154" s="3">
        <v>0.234</v>
      </c>
      <c r="F154" s="3">
        <v>21.0</v>
      </c>
      <c r="G154" s="3">
        <v>87.4</v>
      </c>
      <c r="H154" s="3">
        <v>0.2</v>
      </c>
      <c r="I154" s="3">
        <v>0.0</v>
      </c>
      <c r="J154" s="3">
        <v>4.5</v>
      </c>
      <c r="K154" s="3">
        <v>785028.25</v>
      </c>
      <c r="L154" s="3">
        <v>110726.44</v>
      </c>
      <c r="M154" s="3">
        <v>0.0</v>
      </c>
      <c r="N154" s="3">
        <v>0.0</v>
      </c>
      <c r="O154" s="3">
        <v>0.0</v>
      </c>
      <c r="P154" s="3">
        <v>1.0</v>
      </c>
      <c r="Q154" s="3">
        <v>0.0</v>
      </c>
      <c r="R154" s="3">
        <v>0.0</v>
      </c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 t="s">
        <v>60</v>
      </c>
      <c r="B155" s="8">
        <v>45689.0</v>
      </c>
      <c r="C155" s="3">
        <v>64374.75</v>
      </c>
      <c r="D155" s="3">
        <v>6740.0</v>
      </c>
      <c r="E155" s="3">
        <v>0.169</v>
      </c>
      <c r="F155" s="3">
        <v>18.0</v>
      </c>
      <c r="G155" s="3">
        <v>87.0</v>
      </c>
      <c r="H155" s="3">
        <v>2.09</v>
      </c>
      <c r="I155" s="3">
        <v>0.0</v>
      </c>
      <c r="J155" s="3">
        <v>4.2</v>
      </c>
      <c r="K155" s="3">
        <v>698492.67</v>
      </c>
      <c r="L155" s="3">
        <v>117319.32</v>
      </c>
      <c r="M155" s="3">
        <v>0.0</v>
      </c>
      <c r="N155" s="3">
        <v>0.0</v>
      </c>
      <c r="O155" s="3">
        <v>0.0</v>
      </c>
      <c r="P155" s="3">
        <v>1.0</v>
      </c>
      <c r="Q155" s="3">
        <v>0.0</v>
      </c>
      <c r="R155" s="3">
        <v>0.0</v>
      </c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 t="s">
        <v>60</v>
      </c>
      <c r="B156" s="8">
        <v>45717.0</v>
      </c>
      <c r="C156" s="3">
        <v>61433.84</v>
      </c>
      <c r="D156" s="3">
        <v>7745.0</v>
      </c>
      <c r="E156" s="3">
        <v>0.18</v>
      </c>
      <c r="F156" s="3">
        <v>16.0</v>
      </c>
      <c r="G156" s="3">
        <v>90.5</v>
      </c>
      <c r="H156" s="3">
        <v>2.26</v>
      </c>
      <c r="I156" s="3">
        <v>0.0</v>
      </c>
      <c r="J156" s="3">
        <v>4.2</v>
      </c>
      <c r="K156" s="3">
        <v>685830.24</v>
      </c>
      <c r="L156" s="3">
        <v>128736.18</v>
      </c>
      <c r="M156" s="3">
        <v>0.0</v>
      </c>
      <c r="N156" s="3">
        <v>0.0</v>
      </c>
      <c r="O156" s="3">
        <v>0.0</v>
      </c>
      <c r="P156" s="3">
        <v>1.0</v>
      </c>
      <c r="Q156" s="3">
        <v>0.0</v>
      </c>
      <c r="R156" s="3">
        <v>0.0</v>
      </c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 t="s">
        <v>60</v>
      </c>
      <c r="B157" s="8">
        <v>45748.0</v>
      </c>
      <c r="C157" s="3">
        <v>42698.14</v>
      </c>
      <c r="D157" s="3">
        <v>7693.0</v>
      </c>
      <c r="E157" s="3">
        <v>0.187</v>
      </c>
      <c r="F157" s="3">
        <v>19.0</v>
      </c>
      <c r="G157" s="3">
        <v>90.1</v>
      </c>
      <c r="H157" s="3">
        <v>0.44</v>
      </c>
      <c r="I157" s="3">
        <v>0.0</v>
      </c>
      <c r="J157" s="3">
        <v>4.4</v>
      </c>
      <c r="K157" s="3">
        <v>702318.94</v>
      </c>
      <c r="L157" s="3">
        <v>112829.29</v>
      </c>
      <c r="M157" s="3">
        <v>0.0</v>
      </c>
      <c r="N157" s="3">
        <v>0.0</v>
      </c>
      <c r="O157" s="3">
        <v>0.0</v>
      </c>
      <c r="P157" s="3">
        <v>1.0</v>
      </c>
      <c r="Q157" s="3">
        <v>0.0</v>
      </c>
      <c r="R157" s="3">
        <v>0.0</v>
      </c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 t="s">
        <v>61</v>
      </c>
      <c r="B158" s="8">
        <v>45658.0</v>
      </c>
      <c r="C158" s="3">
        <v>86883.31</v>
      </c>
      <c r="D158" s="3">
        <v>6424.0</v>
      </c>
      <c r="E158" s="3">
        <v>0.057</v>
      </c>
      <c r="F158" s="3">
        <v>19.0</v>
      </c>
      <c r="G158" s="3">
        <v>85.2</v>
      </c>
      <c r="H158" s="3">
        <v>3.08</v>
      </c>
      <c r="I158" s="3">
        <v>0.0</v>
      </c>
      <c r="J158" s="3">
        <v>3.9</v>
      </c>
      <c r="K158" s="3">
        <v>700078.32</v>
      </c>
      <c r="L158" s="3">
        <v>123707.58</v>
      </c>
      <c r="M158" s="3">
        <v>1.0</v>
      </c>
      <c r="N158" s="3">
        <v>0.0</v>
      </c>
      <c r="O158" s="3">
        <v>0.0</v>
      </c>
      <c r="P158" s="3">
        <v>0.0</v>
      </c>
      <c r="Q158" s="3">
        <v>1.0</v>
      </c>
      <c r="R158" s="3">
        <v>0.0</v>
      </c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 t="s">
        <v>61</v>
      </c>
      <c r="B159" s="8">
        <v>45689.0</v>
      </c>
      <c r="C159" s="3">
        <v>41863.08</v>
      </c>
      <c r="D159" s="3">
        <v>5400.0</v>
      </c>
      <c r="E159" s="3">
        <v>0.114</v>
      </c>
      <c r="F159" s="3">
        <v>11.0</v>
      </c>
      <c r="G159" s="3">
        <v>91.6</v>
      </c>
      <c r="H159" s="3">
        <v>7.99</v>
      </c>
      <c r="I159" s="3">
        <v>0.0</v>
      </c>
      <c r="J159" s="3">
        <v>3.0</v>
      </c>
      <c r="K159" s="3">
        <v>602002.32</v>
      </c>
      <c r="L159" s="3">
        <v>110453.28</v>
      </c>
      <c r="M159" s="3">
        <v>1.0</v>
      </c>
      <c r="N159" s="3">
        <v>0.0</v>
      </c>
      <c r="O159" s="3">
        <v>0.0</v>
      </c>
      <c r="P159" s="3">
        <v>0.0</v>
      </c>
      <c r="Q159" s="3">
        <v>1.0</v>
      </c>
      <c r="R159" s="3">
        <v>0.0</v>
      </c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 t="s">
        <v>61</v>
      </c>
      <c r="B160" s="8">
        <v>45717.0</v>
      </c>
      <c r="C160" s="3">
        <v>56918.16</v>
      </c>
      <c r="D160" s="3">
        <v>7015.0</v>
      </c>
      <c r="E160" s="3">
        <v>0.158</v>
      </c>
      <c r="F160" s="3">
        <v>18.0</v>
      </c>
      <c r="G160" s="3">
        <v>74.2</v>
      </c>
      <c r="H160" s="3">
        <v>0.2</v>
      </c>
      <c r="I160" s="3">
        <v>0.0</v>
      </c>
      <c r="J160" s="3">
        <v>3.4</v>
      </c>
      <c r="K160" s="3">
        <v>724216.07</v>
      </c>
      <c r="L160" s="3">
        <v>100627.56</v>
      </c>
      <c r="M160" s="3">
        <v>1.0</v>
      </c>
      <c r="N160" s="3">
        <v>0.0</v>
      </c>
      <c r="O160" s="3">
        <v>0.0</v>
      </c>
      <c r="P160" s="3">
        <v>0.0</v>
      </c>
      <c r="Q160" s="3">
        <v>1.0</v>
      </c>
      <c r="R160" s="3">
        <v>0.0</v>
      </c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 t="s">
        <v>61</v>
      </c>
      <c r="B161" s="8">
        <v>45748.0</v>
      </c>
      <c r="C161" s="3">
        <v>23254.57</v>
      </c>
      <c r="D161" s="3">
        <v>3847.0</v>
      </c>
      <c r="E161" s="3">
        <v>0.159</v>
      </c>
      <c r="F161" s="3">
        <v>12.0</v>
      </c>
      <c r="G161" s="3">
        <v>93.0</v>
      </c>
      <c r="H161" s="3">
        <v>5.46</v>
      </c>
      <c r="I161" s="3">
        <v>0.0</v>
      </c>
      <c r="J161" s="3">
        <v>3.3</v>
      </c>
      <c r="K161" s="3">
        <v>620973.03</v>
      </c>
      <c r="L161" s="3">
        <v>72303.85</v>
      </c>
      <c r="M161" s="3">
        <v>1.0</v>
      </c>
      <c r="N161" s="3">
        <v>0.0</v>
      </c>
      <c r="O161" s="3">
        <v>0.0</v>
      </c>
      <c r="P161" s="3">
        <v>0.0</v>
      </c>
      <c r="Q161" s="3">
        <v>1.0</v>
      </c>
      <c r="R161" s="3">
        <v>0.0</v>
      </c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 t="s">
        <v>62</v>
      </c>
      <c r="B162" s="8">
        <v>45658.0</v>
      </c>
      <c r="C162" s="3">
        <v>41443.41</v>
      </c>
      <c r="D162" s="3">
        <v>7455.0</v>
      </c>
      <c r="E162" s="3">
        <v>0.175</v>
      </c>
      <c r="F162" s="3">
        <v>16.0</v>
      </c>
      <c r="G162" s="3">
        <v>90.1</v>
      </c>
      <c r="H162" s="3">
        <v>4.05</v>
      </c>
      <c r="I162" s="3">
        <v>0.0</v>
      </c>
      <c r="J162" s="3">
        <v>4.0</v>
      </c>
      <c r="K162" s="3">
        <v>650480.06</v>
      </c>
      <c r="L162" s="3">
        <v>109012.07</v>
      </c>
      <c r="M162" s="3">
        <v>0.0</v>
      </c>
      <c r="N162" s="3">
        <v>1.0</v>
      </c>
      <c r="O162" s="3">
        <v>0.0</v>
      </c>
      <c r="P162" s="3">
        <v>1.0</v>
      </c>
      <c r="Q162" s="3">
        <v>0.0</v>
      </c>
      <c r="R162" s="3">
        <v>0.0</v>
      </c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 t="s">
        <v>62</v>
      </c>
      <c r="B163" s="8">
        <v>45689.0</v>
      </c>
      <c r="C163" s="3">
        <v>48438.85</v>
      </c>
      <c r="D163" s="3">
        <v>6992.0</v>
      </c>
      <c r="E163" s="3">
        <v>0.034</v>
      </c>
      <c r="F163" s="3">
        <v>20.0</v>
      </c>
      <c r="G163" s="3">
        <v>91.0</v>
      </c>
      <c r="H163" s="3">
        <v>4.36</v>
      </c>
      <c r="I163" s="3">
        <v>0.0</v>
      </c>
      <c r="J163" s="3">
        <v>4.2</v>
      </c>
      <c r="K163" s="3">
        <v>778298.88</v>
      </c>
      <c r="L163" s="3">
        <v>130076.72</v>
      </c>
      <c r="M163" s="3">
        <v>0.0</v>
      </c>
      <c r="N163" s="3">
        <v>1.0</v>
      </c>
      <c r="O163" s="3">
        <v>0.0</v>
      </c>
      <c r="P163" s="3">
        <v>1.0</v>
      </c>
      <c r="Q163" s="3">
        <v>0.0</v>
      </c>
      <c r="R163" s="3">
        <v>0.0</v>
      </c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 t="s">
        <v>62</v>
      </c>
      <c r="B164" s="8">
        <v>45717.0</v>
      </c>
      <c r="C164" s="3">
        <v>57143.3</v>
      </c>
      <c r="D164" s="3">
        <v>8038.0</v>
      </c>
      <c r="E164" s="3">
        <v>0.193</v>
      </c>
      <c r="F164" s="3">
        <v>17.0</v>
      </c>
      <c r="G164" s="3">
        <v>72.6</v>
      </c>
      <c r="H164" s="3">
        <v>3.365</v>
      </c>
      <c r="I164" s="3">
        <v>0.0</v>
      </c>
      <c r="J164" s="3">
        <v>4.2</v>
      </c>
      <c r="K164" s="3">
        <v>677096.71</v>
      </c>
      <c r="L164" s="3">
        <v>97174.11</v>
      </c>
      <c r="M164" s="3">
        <v>0.0</v>
      </c>
      <c r="N164" s="3">
        <v>1.0</v>
      </c>
      <c r="O164" s="3">
        <v>0.0</v>
      </c>
      <c r="P164" s="3">
        <v>1.0</v>
      </c>
      <c r="Q164" s="3">
        <v>0.0</v>
      </c>
      <c r="R164" s="3">
        <v>0.0</v>
      </c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 t="s">
        <v>62</v>
      </c>
      <c r="B165" s="8">
        <v>45748.0</v>
      </c>
      <c r="C165" s="3">
        <v>66870.62</v>
      </c>
      <c r="D165" s="3">
        <v>6055.0</v>
      </c>
      <c r="E165" s="3">
        <v>0.075</v>
      </c>
      <c r="F165" s="3">
        <v>19.0</v>
      </c>
      <c r="G165" s="3">
        <v>93.8</v>
      </c>
      <c r="H165" s="3">
        <v>0.54</v>
      </c>
      <c r="I165" s="3">
        <v>0.0</v>
      </c>
      <c r="J165" s="3">
        <v>4.3</v>
      </c>
      <c r="K165" s="3">
        <v>692008.64</v>
      </c>
      <c r="L165" s="3">
        <v>116337.87</v>
      </c>
      <c r="M165" s="3">
        <v>0.0</v>
      </c>
      <c r="N165" s="3">
        <v>1.0</v>
      </c>
      <c r="O165" s="3">
        <v>0.0</v>
      </c>
      <c r="P165" s="3">
        <v>1.0</v>
      </c>
      <c r="Q165" s="3">
        <v>0.0</v>
      </c>
      <c r="R165" s="3">
        <v>0.0</v>
      </c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 t="s">
        <v>63</v>
      </c>
      <c r="B166" s="8">
        <v>45658.0</v>
      </c>
      <c r="C166" s="3">
        <v>72150.53</v>
      </c>
      <c r="D166" s="3">
        <v>9323.0</v>
      </c>
      <c r="E166" s="3">
        <v>0.157</v>
      </c>
      <c r="F166" s="3">
        <v>22.0</v>
      </c>
      <c r="G166" s="3">
        <v>82.9</v>
      </c>
      <c r="H166" s="3">
        <v>11.37</v>
      </c>
      <c r="I166" s="3">
        <v>1.0</v>
      </c>
      <c r="J166" s="3">
        <v>4.3</v>
      </c>
      <c r="K166" s="3">
        <v>825797.91</v>
      </c>
      <c r="L166" s="3">
        <v>130945.24</v>
      </c>
      <c r="M166" s="3">
        <v>1.0</v>
      </c>
      <c r="N166" s="3">
        <v>0.0</v>
      </c>
      <c r="O166" s="3">
        <v>0.0</v>
      </c>
      <c r="P166" s="3">
        <v>0.0</v>
      </c>
      <c r="Q166" s="3">
        <v>1.0</v>
      </c>
      <c r="R166" s="3">
        <v>0.0</v>
      </c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 t="s">
        <v>63</v>
      </c>
      <c r="B167" s="8">
        <v>45689.0</v>
      </c>
      <c r="C167" s="3">
        <v>35303.3</v>
      </c>
      <c r="D167" s="3">
        <v>8789.0</v>
      </c>
      <c r="E167" s="3">
        <v>0.123</v>
      </c>
      <c r="F167" s="3">
        <v>22.0</v>
      </c>
      <c r="G167" s="3">
        <v>86.1</v>
      </c>
      <c r="H167" s="3">
        <v>9.43</v>
      </c>
      <c r="I167" s="3">
        <v>0.0</v>
      </c>
      <c r="J167" s="3">
        <v>4.2</v>
      </c>
      <c r="K167" s="3">
        <v>706285.52</v>
      </c>
      <c r="L167" s="3">
        <v>138014.72</v>
      </c>
      <c r="M167" s="3">
        <v>1.0</v>
      </c>
      <c r="N167" s="3">
        <v>0.0</v>
      </c>
      <c r="O167" s="3">
        <v>0.0</v>
      </c>
      <c r="P167" s="3">
        <v>0.0</v>
      </c>
      <c r="Q167" s="3">
        <v>1.0</v>
      </c>
      <c r="R167" s="3">
        <v>0.0</v>
      </c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 t="s">
        <v>63</v>
      </c>
      <c r="B168" s="8">
        <v>45717.0</v>
      </c>
      <c r="C168" s="3">
        <v>30301.86</v>
      </c>
      <c r="D168" s="3">
        <v>6939.0</v>
      </c>
      <c r="E168" s="3">
        <v>0.09</v>
      </c>
      <c r="F168" s="3">
        <v>16.0</v>
      </c>
      <c r="G168" s="3">
        <v>90.3</v>
      </c>
      <c r="H168" s="3">
        <v>3.49</v>
      </c>
      <c r="I168" s="3">
        <v>0.0</v>
      </c>
      <c r="J168" s="3">
        <v>4.0</v>
      </c>
      <c r="K168" s="3">
        <v>665534.7</v>
      </c>
      <c r="L168" s="3">
        <v>113167.73</v>
      </c>
      <c r="M168" s="3">
        <v>1.0</v>
      </c>
      <c r="N168" s="3">
        <v>0.0</v>
      </c>
      <c r="O168" s="3">
        <v>0.0</v>
      </c>
      <c r="P168" s="3">
        <v>0.0</v>
      </c>
      <c r="Q168" s="3">
        <v>1.0</v>
      </c>
      <c r="R168" s="3">
        <v>0.0</v>
      </c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 t="s">
        <v>63</v>
      </c>
      <c r="B169" s="8">
        <v>45748.0</v>
      </c>
      <c r="C169" s="3">
        <v>78432.14</v>
      </c>
      <c r="D169" s="3">
        <v>9440.0</v>
      </c>
      <c r="E169" s="3">
        <v>0.126</v>
      </c>
      <c r="F169" s="3">
        <v>23.0</v>
      </c>
      <c r="G169" s="3">
        <v>89.2</v>
      </c>
      <c r="H169" s="3">
        <v>7.86</v>
      </c>
      <c r="I169" s="3">
        <v>0.0</v>
      </c>
      <c r="J169" s="3">
        <v>4.1</v>
      </c>
      <c r="K169" s="3">
        <v>820729.29</v>
      </c>
      <c r="L169" s="3">
        <v>159325.47</v>
      </c>
      <c r="M169" s="3">
        <v>1.0</v>
      </c>
      <c r="N169" s="3">
        <v>0.0</v>
      </c>
      <c r="O169" s="3">
        <v>0.0</v>
      </c>
      <c r="P169" s="3">
        <v>0.0</v>
      </c>
      <c r="Q169" s="3">
        <v>1.0</v>
      </c>
      <c r="R169" s="3">
        <v>0.0</v>
      </c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 t="s">
        <v>64</v>
      </c>
      <c r="B170" s="8">
        <v>45658.0</v>
      </c>
      <c r="C170" s="3">
        <v>62059.18</v>
      </c>
      <c r="D170" s="3">
        <v>9374.0</v>
      </c>
      <c r="E170" s="3">
        <v>0.136</v>
      </c>
      <c r="F170" s="3">
        <v>25.0</v>
      </c>
      <c r="G170" s="3">
        <v>87.1</v>
      </c>
      <c r="H170" s="3">
        <v>12.55</v>
      </c>
      <c r="I170" s="3">
        <v>0.0</v>
      </c>
      <c r="J170" s="3">
        <v>4.9</v>
      </c>
      <c r="K170" s="3">
        <v>739831.73</v>
      </c>
      <c r="L170" s="3">
        <v>119490.21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1.0</v>
      </c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 t="s">
        <v>64</v>
      </c>
      <c r="B171" s="8">
        <v>45689.0</v>
      </c>
      <c r="C171" s="3">
        <v>32834.48</v>
      </c>
      <c r="D171" s="3">
        <v>7576.0</v>
      </c>
      <c r="E171" s="3">
        <v>0.099</v>
      </c>
      <c r="F171" s="3">
        <v>15.0</v>
      </c>
      <c r="G171" s="3">
        <v>84.1</v>
      </c>
      <c r="H171" s="3">
        <v>3.48</v>
      </c>
      <c r="I171" s="3">
        <v>0.0</v>
      </c>
      <c r="J171" s="3">
        <v>5.0</v>
      </c>
      <c r="K171" s="3">
        <v>593637.14</v>
      </c>
      <c r="L171" s="3">
        <v>106648.14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1.0</v>
      </c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 t="s">
        <v>64</v>
      </c>
      <c r="B172" s="8">
        <v>45717.0</v>
      </c>
      <c r="C172" s="3">
        <v>50825.08</v>
      </c>
      <c r="D172" s="3">
        <v>8949.0</v>
      </c>
      <c r="E172" s="3">
        <v>0.157</v>
      </c>
      <c r="F172" s="3">
        <v>21.0</v>
      </c>
      <c r="G172" s="3">
        <v>84.7</v>
      </c>
      <c r="H172" s="3">
        <v>7.73</v>
      </c>
      <c r="I172" s="3">
        <v>0.0</v>
      </c>
      <c r="J172" s="3">
        <v>4.9</v>
      </c>
      <c r="K172" s="3">
        <v>769702.76</v>
      </c>
      <c r="L172" s="3">
        <v>158697.0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1.0</v>
      </c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 t="s">
        <v>64</v>
      </c>
      <c r="B173" s="8">
        <v>45748.0</v>
      </c>
      <c r="C173" s="3">
        <v>36606.51</v>
      </c>
      <c r="D173" s="3">
        <v>7671.0</v>
      </c>
      <c r="E173" s="3">
        <v>0.118</v>
      </c>
      <c r="F173" s="3">
        <v>18.0</v>
      </c>
      <c r="G173" s="3">
        <v>89.8</v>
      </c>
      <c r="H173" s="3">
        <v>0.25</v>
      </c>
      <c r="I173" s="3">
        <v>0.0</v>
      </c>
      <c r="J173" s="3">
        <v>4.4</v>
      </c>
      <c r="K173" s="3">
        <v>679731.57</v>
      </c>
      <c r="L173" s="3">
        <v>121546.42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1.0</v>
      </c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 t="s">
        <v>65</v>
      </c>
      <c r="B174" s="8">
        <v>45658.0</v>
      </c>
      <c r="C174" s="3">
        <v>65237.79</v>
      </c>
      <c r="D174" s="3">
        <v>8741.0</v>
      </c>
      <c r="E174" s="3">
        <v>0.157</v>
      </c>
      <c r="F174" s="3">
        <v>20.0</v>
      </c>
      <c r="G174" s="3">
        <v>94.4</v>
      </c>
      <c r="H174" s="3">
        <v>6.43</v>
      </c>
      <c r="I174" s="3">
        <v>0.0</v>
      </c>
      <c r="J174" s="3">
        <v>3.3</v>
      </c>
      <c r="K174" s="3">
        <v>780344.18</v>
      </c>
      <c r="L174" s="3">
        <v>118239.09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1.0</v>
      </c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 t="s">
        <v>65</v>
      </c>
      <c r="B175" s="8">
        <v>45689.0</v>
      </c>
      <c r="C175" s="3">
        <v>43645.98</v>
      </c>
      <c r="D175" s="3">
        <v>9480.0</v>
      </c>
      <c r="E175" s="3">
        <v>0.109</v>
      </c>
      <c r="F175" s="3">
        <v>22.0</v>
      </c>
      <c r="G175" s="3">
        <v>89.0</v>
      </c>
      <c r="H175" s="3">
        <v>2.11</v>
      </c>
      <c r="I175" s="3">
        <v>0.0</v>
      </c>
      <c r="J175" s="3">
        <v>3.1</v>
      </c>
      <c r="K175" s="3">
        <v>721364.11</v>
      </c>
      <c r="L175" s="3">
        <v>147272.81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1.0</v>
      </c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 t="s">
        <v>65</v>
      </c>
      <c r="B176" s="8">
        <v>45717.0</v>
      </c>
      <c r="C176" s="3">
        <v>68040.15</v>
      </c>
      <c r="D176" s="3">
        <v>9826.0</v>
      </c>
      <c r="E176" s="3">
        <v>0.125</v>
      </c>
      <c r="F176" s="3">
        <v>20.0</v>
      </c>
      <c r="G176" s="3">
        <v>83.9</v>
      </c>
      <c r="H176" s="3">
        <v>9.12</v>
      </c>
      <c r="I176" s="3">
        <v>0.0</v>
      </c>
      <c r="J176" s="3">
        <v>3.6</v>
      </c>
      <c r="K176" s="3">
        <v>758138.29</v>
      </c>
      <c r="L176" s="3">
        <v>132975.26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1.0</v>
      </c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 t="s">
        <v>65</v>
      </c>
      <c r="B177" s="8">
        <v>45748.0</v>
      </c>
      <c r="C177" s="3">
        <v>63043.94</v>
      </c>
      <c r="D177" s="3">
        <v>10402.0</v>
      </c>
      <c r="E177" s="3">
        <v>0.159</v>
      </c>
      <c r="F177" s="3">
        <v>23.0</v>
      </c>
      <c r="G177" s="3">
        <v>93.9</v>
      </c>
      <c r="H177" s="3">
        <v>2.71</v>
      </c>
      <c r="I177" s="3">
        <v>0.0</v>
      </c>
      <c r="J177" s="3">
        <v>3.1</v>
      </c>
      <c r="K177" s="3">
        <v>804264.0</v>
      </c>
      <c r="L177" s="3">
        <v>167117.91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1.0</v>
      </c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 t="s">
        <v>66</v>
      </c>
      <c r="B178" s="8">
        <v>45658.0</v>
      </c>
      <c r="C178" s="3">
        <v>67494.09</v>
      </c>
      <c r="D178" s="3">
        <v>12361.0</v>
      </c>
      <c r="E178" s="3">
        <v>0.046</v>
      </c>
      <c r="F178" s="3">
        <v>24.0</v>
      </c>
      <c r="G178" s="3">
        <v>76.6</v>
      </c>
      <c r="H178" s="3">
        <v>3.65</v>
      </c>
      <c r="I178" s="3">
        <v>1.0</v>
      </c>
      <c r="J178" s="3">
        <v>3.7</v>
      </c>
      <c r="K178" s="3">
        <v>887537.75</v>
      </c>
      <c r="L178" s="3">
        <v>160362.92</v>
      </c>
      <c r="M178" s="3">
        <v>0.0</v>
      </c>
      <c r="N178" s="3">
        <v>0.0</v>
      </c>
      <c r="O178" s="3">
        <v>1.0</v>
      </c>
      <c r="P178" s="3">
        <v>0.0</v>
      </c>
      <c r="Q178" s="3">
        <v>0.0</v>
      </c>
      <c r="R178" s="3">
        <v>0.0</v>
      </c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 t="s">
        <v>66</v>
      </c>
      <c r="B179" s="8">
        <v>45689.0</v>
      </c>
      <c r="C179" s="3">
        <v>29389.32</v>
      </c>
      <c r="D179" s="3">
        <v>7925.0</v>
      </c>
      <c r="E179" s="3">
        <v>0.177</v>
      </c>
      <c r="F179" s="3">
        <v>21.0</v>
      </c>
      <c r="G179" s="3">
        <v>90.9</v>
      </c>
      <c r="H179" s="3">
        <v>7.86</v>
      </c>
      <c r="I179" s="3">
        <v>0.0</v>
      </c>
      <c r="J179" s="3">
        <v>4.0</v>
      </c>
      <c r="K179" s="3">
        <v>783582.0</v>
      </c>
      <c r="L179" s="3">
        <v>130670.93</v>
      </c>
      <c r="M179" s="3">
        <v>0.0</v>
      </c>
      <c r="N179" s="3">
        <v>0.0</v>
      </c>
      <c r="O179" s="3">
        <v>1.0</v>
      </c>
      <c r="P179" s="3">
        <v>0.0</v>
      </c>
      <c r="Q179" s="3">
        <v>0.0</v>
      </c>
      <c r="R179" s="3">
        <v>0.0</v>
      </c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 t="s">
        <v>66</v>
      </c>
      <c r="B180" s="8">
        <v>45717.0</v>
      </c>
      <c r="C180" s="3">
        <v>40535.09</v>
      </c>
      <c r="D180" s="3">
        <v>8870.0</v>
      </c>
      <c r="E180" s="3">
        <v>0.041</v>
      </c>
      <c r="F180" s="3">
        <v>21.0</v>
      </c>
      <c r="G180" s="3">
        <v>86.6</v>
      </c>
      <c r="H180" s="3">
        <v>0.3</v>
      </c>
      <c r="I180" s="3">
        <v>0.0</v>
      </c>
      <c r="J180" s="3">
        <v>4.1</v>
      </c>
      <c r="K180" s="3">
        <v>781955.52</v>
      </c>
      <c r="L180" s="3">
        <v>152578.71</v>
      </c>
      <c r="M180" s="3">
        <v>0.0</v>
      </c>
      <c r="N180" s="3">
        <v>0.0</v>
      </c>
      <c r="O180" s="3">
        <v>1.0</v>
      </c>
      <c r="P180" s="3">
        <v>0.0</v>
      </c>
      <c r="Q180" s="3">
        <v>0.0</v>
      </c>
      <c r="R180" s="3">
        <v>0.0</v>
      </c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 t="s">
        <v>66</v>
      </c>
      <c r="B181" s="8">
        <v>45748.0</v>
      </c>
      <c r="C181" s="3">
        <v>74881.56</v>
      </c>
      <c r="D181" s="3">
        <v>9999.0</v>
      </c>
      <c r="E181" s="3">
        <v>0.013</v>
      </c>
      <c r="F181" s="3">
        <v>20.0</v>
      </c>
      <c r="G181" s="3">
        <v>89.6</v>
      </c>
      <c r="H181" s="3">
        <v>8.44</v>
      </c>
      <c r="I181" s="3">
        <v>0.0</v>
      </c>
      <c r="J181" s="3">
        <v>4.1</v>
      </c>
      <c r="K181" s="3">
        <v>898031.04</v>
      </c>
      <c r="L181" s="3">
        <v>138666.5</v>
      </c>
      <c r="M181" s="3">
        <v>0.0</v>
      </c>
      <c r="N181" s="3">
        <v>0.0</v>
      </c>
      <c r="O181" s="3">
        <v>1.0</v>
      </c>
      <c r="P181" s="3">
        <v>0.0</v>
      </c>
      <c r="Q181" s="3">
        <v>0.0</v>
      </c>
      <c r="R181" s="3">
        <v>0.0</v>
      </c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 t="s">
        <v>67</v>
      </c>
      <c r="B182" s="8">
        <v>45658.0</v>
      </c>
      <c r="C182" s="3">
        <v>68491.11</v>
      </c>
      <c r="D182" s="3">
        <v>11154.0</v>
      </c>
      <c r="E182" s="3">
        <v>0.001</v>
      </c>
      <c r="F182" s="3">
        <v>24.0</v>
      </c>
      <c r="G182" s="3">
        <v>89.4</v>
      </c>
      <c r="H182" s="3">
        <v>5.27</v>
      </c>
      <c r="I182" s="3">
        <v>1.0</v>
      </c>
      <c r="J182" s="3">
        <v>3.9</v>
      </c>
      <c r="K182" s="3">
        <v>855341.28</v>
      </c>
      <c r="L182" s="3">
        <v>175823.8</v>
      </c>
      <c r="M182" s="3">
        <v>0.0</v>
      </c>
      <c r="N182" s="3">
        <v>0.0</v>
      </c>
      <c r="O182" s="3">
        <v>1.0</v>
      </c>
      <c r="P182" s="3">
        <v>0.0</v>
      </c>
      <c r="Q182" s="3">
        <v>0.0</v>
      </c>
      <c r="R182" s="3">
        <v>1.0</v>
      </c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 t="s">
        <v>67</v>
      </c>
      <c r="B183" s="8">
        <v>45689.0</v>
      </c>
      <c r="C183" s="3">
        <v>45209.25</v>
      </c>
      <c r="D183" s="3">
        <v>9287.0</v>
      </c>
      <c r="E183" s="3">
        <v>0.141</v>
      </c>
      <c r="F183" s="3">
        <v>22.0</v>
      </c>
      <c r="G183" s="3">
        <v>86.4</v>
      </c>
      <c r="H183" s="3">
        <v>13.22</v>
      </c>
      <c r="I183" s="3">
        <v>0.0</v>
      </c>
      <c r="J183" s="3">
        <v>3.6</v>
      </c>
      <c r="K183" s="3">
        <v>751393.88</v>
      </c>
      <c r="L183" s="3">
        <v>91480.32</v>
      </c>
      <c r="M183" s="3">
        <v>0.0</v>
      </c>
      <c r="N183" s="3">
        <v>0.0</v>
      </c>
      <c r="O183" s="3">
        <v>1.0</v>
      </c>
      <c r="P183" s="3">
        <v>0.0</v>
      </c>
      <c r="Q183" s="3">
        <v>0.0</v>
      </c>
      <c r="R183" s="3">
        <v>1.0</v>
      </c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 t="s">
        <v>67</v>
      </c>
      <c r="B184" s="8">
        <v>45717.0</v>
      </c>
      <c r="C184" s="3">
        <v>63010.23</v>
      </c>
      <c r="D184" s="3">
        <v>9812.0</v>
      </c>
      <c r="E184" s="3">
        <v>0.113</v>
      </c>
      <c r="F184" s="3">
        <v>24.0</v>
      </c>
      <c r="G184" s="3">
        <v>76.8</v>
      </c>
      <c r="H184" s="3">
        <v>1.02</v>
      </c>
      <c r="I184" s="3">
        <v>1.0</v>
      </c>
      <c r="J184" s="3">
        <v>3.8</v>
      </c>
      <c r="K184" s="3">
        <v>761077.08</v>
      </c>
      <c r="L184" s="3">
        <v>113605.93</v>
      </c>
      <c r="M184" s="3">
        <v>0.0</v>
      </c>
      <c r="N184" s="3">
        <v>0.0</v>
      </c>
      <c r="O184" s="3">
        <v>1.0</v>
      </c>
      <c r="P184" s="3">
        <v>0.0</v>
      </c>
      <c r="Q184" s="3">
        <v>0.0</v>
      </c>
      <c r="R184" s="3">
        <v>1.0</v>
      </c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 t="s">
        <v>67</v>
      </c>
      <c r="B185" s="8">
        <v>45748.0</v>
      </c>
      <c r="C185" s="3">
        <v>57948.88</v>
      </c>
      <c r="D185" s="3">
        <v>10741.0</v>
      </c>
      <c r="E185" s="3">
        <v>0.07</v>
      </c>
      <c r="F185" s="3">
        <v>25.0</v>
      </c>
      <c r="G185" s="3">
        <v>90.1</v>
      </c>
      <c r="H185" s="3">
        <v>4.03</v>
      </c>
      <c r="I185" s="3">
        <v>0.0</v>
      </c>
      <c r="J185" s="3">
        <v>3.1</v>
      </c>
      <c r="K185" s="3">
        <v>819660.59</v>
      </c>
      <c r="L185" s="3">
        <v>172699.95</v>
      </c>
      <c r="M185" s="3">
        <v>0.0</v>
      </c>
      <c r="N185" s="3">
        <v>0.0</v>
      </c>
      <c r="O185" s="3">
        <v>1.0</v>
      </c>
      <c r="P185" s="3">
        <v>0.0</v>
      </c>
      <c r="Q185" s="3">
        <v>0.0</v>
      </c>
      <c r="R185" s="3">
        <v>1.0</v>
      </c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 t="s">
        <v>68</v>
      </c>
      <c r="B186" s="8">
        <v>45658.0</v>
      </c>
      <c r="C186" s="3">
        <v>71941.62</v>
      </c>
      <c r="D186" s="3">
        <v>6084.0</v>
      </c>
      <c r="E186" s="3">
        <v>0.072</v>
      </c>
      <c r="F186" s="3">
        <v>13.0</v>
      </c>
      <c r="G186" s="3">
        <v>93.7</v>
      </c>
      <c r="H186" s="3">
        <v>2.34</v>
      </c>
      <c r="I186" s="3">
        <v>0.0</v>
      </c>
      <c r="J186" s="3">
        <v>4.4</v>
      </c>
      <c r="K186" s="3">
        <v>681855.56</v>
      </c>
      <c r="L186" s="3">
        <v>117645.61</v>
      </c>
      <c r="M186" s="3">
        <v>1.0</v>
      </c>
      <c r="N186" s="3">
        <v>0.0</v>
      </c>
      <c r="O186" s="3">
        <v>0.0</v>
      </c>
      <c r="P186" s="3">
        <v>1.0</v>
      </c>
      <c r="Q186" s="3">
        <v>0.0</v>
      </c>
      <c r="R186" s="3">
        <v>0.0</v>
      </c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 t="s">
        <v>68</v>
      </c>
      <c r="B187" s="8">
        <v>45689.0</v>
      </c>
      <c r="C187" s="3">
        <v>57147.88</v>
      </c>
      <c r="D187" s="3">
        <v>5252.0</v>
      </c>
      <c r="E187" s="3">
        <v>0.161</v>
      </c>
      <c r="F187" s="3">
        <v>15.0</v>
      </c>
      <c r="G187" s="3">
        <v>95.5</v>
      </c>
      <c r="H187" s="3">
        <v>8.51</v>
      </c>
      <c r="I187" s="3">
        <v>0.0</v>
      </c>
      <c r="J187" s="3">
        <v>4.4</v>
      </c>
      <c r="K187" s="3">
        <v>678311.17</v>
      </c>
      <c r="L187" s="3">
        <v>132029.76</v>
      </c>
      <c r="M187" s="3">
        <v>1.0</v>
      </c>
      <c r="N187" s="3">
        <v>0.0</v>
      </c>
      <c r="O187" s="3">
        <v>0.0</v>
      </c>
      <c r="P187" s="3">
        <v>1.0</v>
      </c>
      <c r="Q187" s="3">
        <v>0.0</v>
      </c>
      <c r="R187" s="3">
        <v>0.0</v>
      </c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 t="s">
        <v>68</v>
      </c>
      <c r="B188" s="8">
        <v>45717.0</v>
      </c>
      <c r="C188" s="3">
        <v>48031.74</v>
      </c>
      <c r="D188" s="3">
        <v>6516.0</v>
      </c>
      <c r="E188" s="3">
        <v>0.067</v>
      </c>
      <c r="F188" s="3">
        <v>14.0</v>
      </c>
      <c r="G188" s="3">
        <v>99.0</v>
      </c>
      <c r="H188" s="3">
        <v>0.48</v>
      </c>
      <c r="I188" s="3">
        <v>1.0</v>
      </c>
      <c r="J188" s="3">
        <v>4.3</v>
      </c>
      <c r="K188" s="3">
        <v>765906.95</v>
      </c>
      <c r="L188" s="3">
        <v>114005.9</v>
      </c>
      <c r="M188" s="3">
        <v>1.0</v>
      </c>
      <c r="N188" s="3">
        <v>0.0</v>
      </c>
      <c r="O188" s="3">
        <v>0.0</v>
      </c>
      <c r="P188" s="3">
        <v>1.0</v>
      </c>
      <c r="Q188" s="3">
        <v>0.0</v>
      </c>
      <c r="R188" s="3">
        <v>0.0</v>
      </c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 t="s">
        <v>68</v>
      </c>
      <c r="B189" s="8">
        <v>45748.0</v>
      </c>
      <c r="C189" s="3">
        <v>72784.8</v>
      </c>
      <c r="D189" s="3">
        <v>7932.0</v>
      </c>
      <c r="E189" s="3">
        <v>0.094</v>
      </c>
      <c r="F189" s="3">
        <v>20.0</v>
      </c>
      <c r="G189" s="3">
        <v>74.9</v>
      </c>
      <c r="H189" s="3">
        <v>13.62</v>
      </c>
      <c r="I189" s="3">
        <v>0.0</v>
      </c>
      <c r="J189" s="3">
        <v>4.2</v>
      </c>
      <c r="K189" s="3">
        <v>712546.38</v>
      </c>
      <c r="L189" s="3">
        <v>101480.04</v>
      </c>
      <c r="M189" s="3">
        <v>1.0</v>
      </c>
      <c r="N189" s="3">
        <v>0.0</v>
      </c>
      <c r="O189" s="3">
        <v>0.0</v>
      </c>
      <c r="P189" s="3">
        <v>1.0</v>
      </c>
      <c r="Q189" s="3">
        <v>0.0</v>
      </c>
      <c r="R189" s="3">
        <v>0.0</v>
      </c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 t="s">
        <v>69</v>
      </c>
      <c r="B190" s="8">
        <v>45658.0</v>
      </c>
      <c r="C190" s="3">
        <v>71641.9</v>
      </c>
      <c r="D190" s="3">
        <v>3506.0</v>
      </c>
      <c r="E190" s="3">
        <v>0.0</v>
      </c>
      <c r="F190" s="3">
        <v>11.0</v>
      </c>
      <c r="G190" s="3">
        <v>86.4</v>
      </c>
      <c r="H190" s="3">
        <v>7.77</v>
      </c>
      <c r="I190" s="3">
        <v>0.0</v>
      </c>
      <c r="J190" s="3">
        <v>4.1</v>
      </c>
      <c r="K190" s="3">
        <v>625993.83</v>
      </c>
      <c r="L190" s="3">
        <v>98960.32</v>
      </c>
      <c r="M190" s="3">
        <v>0.0</v>
      </c>
      <c r="N190" s="3">
        <v>0.0</v>
      </c>
      <c r="O190" s="3">
        <v>0.0</v>
      </c>
      <c r="P190" s="3">
        <v>1.0</v>
      </c>
      <c r="Q190" s="3">
        <v>0.0</v>
      </c>
      <c r="R190" s="3">
        <v>0.0</v>
      </c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 t="s">
        <v>69</v>
      </c>
      <c r="B191" s="8">
        <v>45689.0</v>
      </c>
      <c r="C191" s="3">
        <v>55788.61</v>
      </c>
      <c r="D191" s="3">
        <v>2312.0</v>
      </c>
      <c r="E191" s="3">
        <v>0.058</v>
      </c>
      <c r="F191" s="3">
        <v>10.0</v>
      </c>
      <c r="G191" s="3">
        <v>91.3</v>
      </c>
      <c r="H191" s="3">
        <v>1.99</v>
      </c>
      <c r="I191" s="3">
        <v>0.0</v>
      </c>
      <c r="J191" s="3">
        <v>3.8</v>
      </c>
      <c r="K191" s="3">
        <v>550962.93</v>
      </c>
      <c r="L191" s="3">
        <v>97144.58</v>
      </c>
      <c r="M191" s="3">
        <v>0.0</v>
      </c>
      <c r="N191" s="3">
        <v>0.0</v>
      </c>
      <c r="O191" s="3">
        <v>0.0</v>
      </c>
      <c r="P191" s="3">
        <v>1.0</v>
      </c>
      <c r="Q191" s="3">
        <v>0.0</v>
      </c>
      <c r="R191" s="3">
        <v>0.0</v>
      </c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 t="s">
        <v>69</v>
      </c>
      <c r="B192" s="8">
        <v>45717.0</v>
      </c>
      <c r="C192" s="3">
        <v>37705.88</v>
      </c>
      <c r="D192" s="3">
        <v>1268.0</v>
      </c>
      <c r="E192" s="3">
        <v>0.259</v>
      </c>
      <c r="F192" s="3">
        <v>9.0</v>
      </c>
      <c r="G192" s="3">
        <v>84.1</v>
      </c>
      <c r="H192" s="3">
        <v>4.77</v>
      </c>
      <c r="I192" s="3">
        <v>0.0</v>
      </c>
      <c r="J192" s="3">
        <v>3.8</v>
      </c>
      <c r="K192" s="3">
        <v>443275.59</v>
      </c>
      <c r="L192" s="3">
        <v>53544.36</v>
      </c>
      <c r="M192" s="3">
        <v>0.0</v>
      </c>
      <c r="N192" s="3">
        <v>0.0</v>
      </c>
      <c r="O192" s="3">
        <v>0.0</v>
      </c>
      <c r="P192" s="3">
        <v>1.0</v>
      </c>
      <c r="Q192" s="3">
        <v>0.0</v>
      </c>
      <c r="R192" s="3">
        <v>0.0</v>
      </c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 t="s">
        <v>69</v>
      </c>
      <c r="B193" s="8">
        <v>45748.0</v>
      </c>
      <c r="C193" s="3">
        <v>54966.18</v>
      </c>
      <c r="D193" s="3">
        <v>4423.0</v>
      </c>
      <c r="E193" s="3">
        <v>0.186</v>
      </c>
      <c r="F193" s="3">
        <v>13.0</v>
      </c>
      <c r="G193" s="3">
        <v>88.7</v>
      </c>
      <c r="H193" s="3">
        <v>0.2</v>
      </c>
      <c r="I193" s="3">
        <v>0.0</v>
      </c>
      <c r="J193" s="3">
        <v>4.4</v>
      </c>
      <c r="K193" s="3">
        <v>554012.07</v>
      </c>
      <c r="L193" s="3">
        <v>81101.62</v>
      </c>
      <c r="M193" s="3">
        <v>0.0</v>
      </c>
      <c r="N193" s="3">
        <v>0.0</v>
      </c>
      <c r="O193" s="3">
        <v>0.0</v>
      </c>
      <c r="P193" s="3">
        <v>1.0</v>
      </c>
      <c r="Q193" s="3">
        <v>0.0</v>
      </c>
      <c r="R193" s="3">
        <v>0.0</v>
      </c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 t="s">
        <v>70</v>
      </c>
      <c r="B194" s="8">
        <v>45658.0</v>
      </c>
      <c r="C194" s="3">
        <v>81796.74</v>
      </c>
      <c r="D194" s="3">
        <v>6177.0</v>
      </c>
      <c r="E194" s="3">
        <v>0.164</v>
      </c>
      <c r="F194" s="3">
        <v>14.0</v>
      </c>
      <c r="G194" s="3">
        <v>87.9</v>
      </c>
      <c r="H194" s="3">
        <v>0.53</v>
      </c>
      <c r="I194" s="3">
        <v>0.0</v>
      </c>
      <c r="J194" s="3">
        <v>3.2</v>
      </c>
      <c r="K194" s="3">
        <v>643428.85</v>
      </c>
      <c r="L194" s="3">
        <v>94477.63</v>
      </c>
      <c r="M194" s="3">
        <v>0.0</v>
      </c>
      <c r="N194" s="3">
        <v>0.0</v>
      </c>
      <c r="O194" s="3">
        <v>1.0</v>
      </c>
      <c r="P194" s="3">
        <v>0.0</v>
      </c>
      <c r="Q194" s="3">
        <v>0.0</v>
      </c>
      <c r="R194" s="3">
        <v>1.0</v>
      </c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 t="s">
        <v>70</v>
      </c>
      <c r="B195" s="8">
        <v>45689.0</v>
      </c>
      <c r="C195" s="3">
        <v>51133.43</v>
      </c>
      <c r="D195" s="3">
        <v>5150.0</v>
      </c>
      <c r="E195" s="3">
        <v>0.15</v>
      </c>
      <c r="F195" s="3">
        <v>12.0</v>
      </c>
      <c r="G195" s="3">
        <v>88.5</v>
      </c>
      <c r="H195" s="3">
        <v>1.54</v>
      </c>
      <c r="I195" s="3">
        <v>0.0</v>
      </c>
      <c r="J195" s="3">
        <v>3.2</v>
      </c>
      <c r="K195" s="3">
        <v>611924.27</v>
      </c>
      <c r="L195" s="3">
        <v>115488.75</v>
      </c>
      <c r="M195" s="3">
        <v>0.0</v>
      </c>
      <c r="N195" s="3">
        <v>0.0</v>
      </c>
      <c r="O195" s="3">
        <v>1.0</v>
      </c>
      <c r="P195" s="3">
        <v>0.0</v>
      </c>
      <c r="Q195" s="3">
        <v>0.0</v>
      </c>
      <c r="R195" s="3">
        <v>1.0</v>
      </c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 t="s">
        <v>70</v>
      </c>
      <c r="B196" s="8">
        <v>45717.0</v>
      </c>
      <c r="C196" s="3">
        <v>40220.18</v>
      </c>
      <c r="D196" s="3">
        <v>3783.0</v>
      </c>
      <c r="E196" s="3">
        <v>0.089</v>
      </c>
      <c r="F196" s="3">
        <v>14.0</v>
      </c>
      <c r="G196" s="3">
        <v>86.6</v>
      </c>
      <c r="H196" s="3">
        <v>3.63</v>
      </c>
      <c r="I196" s="3">
        <v>0.0</v>
      </c>
      <c r="J196" s="3">
        <v>3.7</v>
      </c>
      <c r="K196" s="3">
        <v>559422.02</v>
      </c>
      <c r="L196" s="3">
        <v>73528.74</v>
      </c>
      <c r="M196" s="3">
        <v>0.0</v>
      </c>
      <c r="N196" s="3">
        <v>0.0</v>
      </c>
      <c r="O196" s="3">
        <v>1.0</v>
      </c>
      <c r="P196" s="3">
        <v>0.0</v>
      </c>
      <c r="Q196" s="3">
        <v>0.0</v>
      </c>
      <c r="R196" s="3">
        <v>1.0</v>
      </c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 t="s">
        <v>70</v>
      </c>
      <c r="B197" s="8">
        <v>45748.0</v>
      </c>
      <c r="C197" s="3">
        <v>41657.64</v>
      </c>
      <c r="D197" s="3">
        <v>3135.0</v>
      </c>
      <c r="E197" s="3">
        <v>0.229</v>
      </c>
      <c r="F197" s="3">
        <v>7.0</v>
      </c>
      <c r="G197" s="3">
        <v>85.4</v>
      </c>
      <c r="H197" s="3">
        <v>13.48</v>
      </c>
      <c r="I197" s="3">
        <v>0.0</v>
      </c>
      <c r="J197" s="3">
        <v>3.9</v>
      </c>
      <c r="K197" s="3">
        <v>449465.06</v>
      </c>
      <c r="L197" s="3">
        <v>65694.78</v>
      </c>
      <c r="M197" s="3">
        <v>0.0</v>
      </c>
      <c r="N197" s="3">
        <v>0.0</v>
      </c>
      <c r="O197" s="3">
        <v>1.0</v>
      </c>
      <c r="P197" s="3">
        <v>0.0</v>
      </c>
      <c r="Q197" s="3">
        <v>0.0</v>
      </c>
      <c r="R197" s="3">
        <v>1.0</v>
      </c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 t="s">
        <v>71</v>
      </c>
      <c r="B198" s="8">
        <v>45658.0</v>
      </c>
      <c r="C198" s="3">
        <v>71851.45</v>
      </c>
      <c r="D198" s="3">
        <v>4970.0</v>
      </c>
      <c r="E198" s="3">
        <v>0.098</v>
      </c>
      <c r="F198" s="3">
        <v>11.0</v>
      </c>
      <c r="G198" s="3">
        <v>89.6</v>
      </c>
      <c r="H198" s="3">
        <v>0.2</v>
      </c>
      <c r="I198" s="3">
        <v>0.0</v>
      </c>
      <c r="J198" s="3">
        <v>4.2</v>
      </c>
      <c r="K198" s="3">
        <v>691447.43</v>
      </c>
      <c r="L198" s="3">
        <v>114077.69</v>
      </c>
      <c r="M198" s="3">
        <v>1.0</v>
      </c>
      <c r="N198" s="3">
        <v>0.0</v>
      </c>
      <c r="O198" s="3">
        <v>0.0</v>
      </c>
      <c r="P198" s="3">
        <v>0.0</v>
      </c>
      <c r="Q198" s="3">
        <v>0.0</v>
      </c>
      <c r="R198" s="3">
        <v>1.0</v>
      </c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 t="s">
        <v>71</v>
      </c>
      <c r="B199" s="8">
        <v>45689.0</v>
      </c>
      <c r="C199" s="3">
        <v>54002.83</v>
      </c>
      <c r="D199" s="3">
        <v>4366.0</v>
      </c>
      <c r="E199" s="3">
        <v>0.027</v>
      </c>
      <c r="F199" s="3">
        <v>15.0</v>
      </c>
      <c r="G199" s="3">
        <v>90.6</v>
      </c>
      <c r="H199" s="3">
        <v>12.82</v>
      </c>
      <c r="I199" s="3">
        <v>0.0</v>
      </c>
      <c r="J199" s="3">
        <v>4.6</v>
      </c>
      <c r="K199" s="3">
        <v>574066.61</v>
      </c>
      <c r="L199" s="3">
        <v>124674.67</v>
      </c>
      <c r="M199" s="3">
        <v>1.0</v>
      </c>
      <c r="N199" s="3">
        <v>0.0</v>
      </c>
      <c r="O199" s="3">
        <v>0.0</v>
      </c>
      <c r="P199" s="3">
        <v>0.0</v>
      </c>
      <c r="Q199" s="3">
        <v>0.0</v>
      </c>
      <c r="R199" s="3">
        <v>1.0</v>
      </c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 t="s">
        <v>71</v>
      </c>
      <c r="B200" s="8">
        <v>45717.0</v>
      </c>
      <c r="C200" s="3">
        <v>54479.33</v>
      </c>
      <c r="D200" s="3">
        <v>5012.0</v>
      </c>
      <c r="E200" s="3">
        <v>0.284</v>
      </c>
      <c r="F200" s="3">
        <v>13.0</v>
      </c>
      <c r="G200" s="3">
        <v>86.0</v>
      </c>
      <c r="H200" s="3">
        <v>2.24</v>
      </c>
      <c r="I200" s="3">
        <v>1.0</v>
      </c>
      <c r="J200" s="3">
        <v>4.3</v>
      </c>
      <c r="K200" s="3">
        <v>578949.84</v>
      </c>
      <c r="L200" s="3">
        <v>80253.65</v>
      </c>
      <c r="M200" s="3">
        <v>1.0</v>
      </c>
      <c r="N200" s="3">
        <v>0.0</v>
      </c>
      <c r="O200" s="3">
        <v>0.0</v>
      </c>
      <c r="P200" s="3">
        <v>0.0</v>
      </c>
      <c r="Q200" s="3">
        <v>0.0</v>
      </c>
      <c r="R200" s="3">
        <v>1.0</v>
      </c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 t="s">
        <v>71</v>
      </c>
      <c r="B201" s="8">
        <v>45748.0</v>
      </c>
      <c r="C201" s="3">
        <v>61391.8</v>
      </c>
      <c r="D201" s="3">
        <v>5575.0</v>
      </c>
      <c r="E201" s="3">
        <v>0.189</v>
      </c>
      <c r="F201" s="3">
        <v>18.0</v>
      </c>
      <c r="G201" s="3">
        <v>90.0</v>
      </c>
      <c r="H201" s="3">
        <v>1.8</v>
      </c>
      <c r="I201" s="3">
        <v>0.0</v>
      </c>
      <c r="J201" s="3">
        <v>4.8</v>
      </c>
      <c r="K201" s="3">
        <v>735786.64</v>
      </c>
      <c r="L201" s="3">
        <v>126540.66</v>
      </c>
      <c r="M201" s="3">
        <v>1.0</v>
      </c>
      <c r="N201" s="3">
        <v>0.0</v>
      </c>
      <c r="O201" s="3">
        <v>0.0</v>
      </c>
      <c r="P201" s="3">
        <v>0.0</v>
      </c>
      <c r="Q201" s="3">
        <v>0.0</v>
      </c>
      <c r="R201" s="3">
        <v>1.0</v>
      </c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 t="s">
        <v>72</v>
      </c>
      <c r="B202" s="8">
        <v>45658.0</v>
      </c>
      <c r="C202" s="3">
        <v>22312.93</v>
      </c>
      <c r="D202" s="3">
        <v>5955.0</v>
      </c>
      <c r="E202" s="3">
        <v>0.123</v>
      </c>
      <c r="F202" s="3">
        <v>13.0</v>
      </c>
      <c r="G202" s="3">
        <v>84.2</v>
      </c>
      <c r="H202" s="3">
        <v>0.41</v>
      </c>
      <c r="I202" s="3">
        <v>1.0</v>
      </c>
      <c r="J202" s="3">
        <v>4.6</v>
      </c>
      <c r="K202" s="3">
        <v>598904.9</v>
      </c>
      <c r="L202" s="3">
        <v>72861.0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 t="s">
        <v>72</v>
      </c>
      <c r="B203" s="8">
        <v>45689.0</v>
      </c>
      <c r="C203" s="3">
        <v>78111.97</v>
      </c>
      <c r="D203" s="3">
        <v>6389.0</v>
      </c>
      <c r="E203" s="3">
        <v>0.15</v>
      </c>
      <c r="F203" s="3">
        <v>13.0</v>
      </c>
      <c r="G203" s="3">
        <v>83.9</v>
      </c>
      <c r="H203" s="3">
        <v>3.05</v>
      </c>
      <c r="I203" s="3">
        <v>0.0</v>
      </c>
      <c r="J203" s="3">
        <v>4.8</v>
      </c>
      <c r="K203" s="3">
        <v>787715.51</v>
      </c>
      <c r="L203" s="3">
        <v>128969.62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 t="s">
        <v>72</v>
      </c>
      <c r="B204" s="8">
        <v>45717.0</v>
      </c>
      <c r="C204" s="3">
        <v>35203.23</v>
      </c>
      <c r="D204" s="3">
        <v>6896.0</v>
      </c>
      <c r="E204" s="3">
        <v>0.032</v>
      </c>
      <c r="F204" s="3">
        <v>14.0</v>
      </c>
      <c r="G204" s="3">
        <v>80.8</v>
      </c>
      <c r="H204" s="3">
        <v>8.44</v>
      </c>
      <c r="I204" s="3">
        <v>1.0</v>
      </c>
      <c r="J204" s="3">
        <v>5.0</v>
      </c>
      <c r="K204" s="3">
        <v>607084.92</v>
      </c>
      <c r="L204" s="3">
        <v>98558.49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 t="s">
        <v>72</v>
      </c>
      <c r="B205" s="8">
        <v>45748.0</v>
      </c>
      <c r="C205" s="3">
        <v>64104.28</v>
      </c>
      <c r="D205" s="3">
        <v>6015.0</v>
      </c>
      <c r="E205" s="3">
        <v>0.127</v>
      </c>
      <c r="F205" s="3">
        <v>15.0</v>
      </c>
      <c r="G205" s="3">
        <v>88.7</v>
      </c>
      <c r="H205" s="3">
        <v>0.78</v>
      </c>
      <c r="I205" s="3">
        <v>0.0</v>
      </c>
      <c r="J205" s="3">
        <v>4.0</v>
      </c>
      <c r="K205" s="3">
        <v>650795.49</v>
      </c>
      <c r="L205" s="3">
        <v>103035.89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 t="s">
        <v>73</v>
      </c>
      <c r="B206" s="8">
        <v>45658.0</v>
      </c>
      <c r="C206" s="3">
        <v>92090.14</v>
      </c>
      <c r="D206" s="3">
        <v>9476.0</v>
      </c>
      <c r="E206" s="3">
        <v>0.07</v>
      </c>
      <c r="F206" s="3">
        <v>24.0</v>
      </c>
      <c r="G206" s="3">
        <v>94.3</v>
      </c>
      <c r="H206" s="3">
        <v>0.87</v>
      </c>
      <c r="I206" s="3">
        <v>0.0</v>
      </c>
      <c r="J206" s="3">
        <v>3.7</v>
      </c>
      <c r="K206" s="3">
        <v>825060.52</v>
      </c>
      <c r="L206" s="3">
        <v>143613.15</v>
      </c>
      <c r="M206" s="3">
        <v>0.0</v>
      </c>
      <c r="N206" s="3">
        <v>0.0</v>
      </c>
      <c r="O206" s="3">
        <v>0.0</v>
      </c>
      <c r="P206" s="3">
        <v>0.0</v>
      </c>
      <c r="Q206" s="3">
        <v>1.0</v>
      </c>
      <c r="R206" s="3">
        <v>0.0</v>
      </c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 t="s">
        <v>73</v>
      </c>
      <c r="B207" s="8">
        <v>45689.0</v>
      </c>
      <c r="C207" s="3">
        <v>54300.87</v>
      </c>
      <c r="D207" s="3">
        <v>7875.0</v>
      </c>
      <c r="E207" s="3">
        <v>0.107</v>
      </c>
      <c r="F207" s="3">
        <v>19.0</v>
      </c>
      <c r="G207" s="3">
        <v>94.1</v>
      </c>
      <c r="H207" s="3">
        <v>0.95</v>
      </c>
      <c r="I207" s="3">
        <v>0.0</v>
      </c>
      <c r="J207" s="3">
        <v>3.7</v>
      </c>
      <c r="K207" s="3">
        <v>795464.47</v>
      </c>
      <c r="L207" s="3">
        <v>161150.52</v>
      </c>
      <c r="M207" s="3">
        <v>0.0</v>
      </c>
      <c r="N207" s="3">
        <v>0.0</v>
      </c>
      <c r="O207" s="3">
        <v>0.0</v>
      </c>
      <c r="P207" s="3">
        <v>0.0</v>
      </c>
      <c r="Q207" s="3">
        <v>1.0</v>
      </c>
      <c r="R207" s="3">
        <v>0.0</v>
      </c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 t="s">
        <v>73</v>
      </c>
      <c r="B208" s="8">
        <v>45717.0</v>
      </c>
      <c r="C208" s="3">
        <v>37983.35</v>
      </c>
      <c r="D208" s="3">
        <v>9283.0</v>
      </c>
      <c r="E208" s="3">
        <v>0.149</v>
      </c>
      <c r="F208" s="3">
        <v>19.0</v>
      </c>
      <c r="G208" s="3">
        <v>83.2</v>
      </c>
      <c r="H208" s="3">
        <v>3.82</v>
      </c>
      <c r="I208" s="3">
        <v>0.0</v>
      </c>
      <c r="J208" s="3">
        <v>3.7</v>
      </c>
      <c r="K208" s="3">
        <v>671868.59</v>
      </c>
      <c r="L208" s="3">
        <v>71003.28</v>
      </c>
      <c r="M208" s="3">
        <v>0.0</v>
      </c>
      <c r="N208" s="3">
        <v>0.0</v>
      </c>
      <c r="O208" s="3">
        <v>0.0</v>
      </c>
      <c r="P208" s="3">
        <v>0.0</v>
      </c>
      <c r="Q208" s="3">
        <v>1.0</v>
      </c>
      <c r="R208" s="3">
        <v>0.0</v>
      </c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 t="s">
        <v>73</v>
      </c>
      <c r="B209" s="8">
        <v>45748.0</v>
      </c>
      <c r="C209" s="3">
        <v>56413.83</v>
      </c>
      <c r="D209" s="3">
        <v>8303.0</v>
      </c>
      <c r="E209" s="3">
        <v>0.116</v>
      </c>
      <c r="F209" s="3">
        <v>18.0</v>
      </c>
      <c r="G209" s="3">
        <v>93.6</v>
      </c>
      <c r="H209" s="3">
        <v>2.7</v>
      </c>
      <c r="I209" s="3">
        <v>0.0</v>
      </c>
      <c r="J209" s="3">
        <v>3.7</v>
      </c>
      <c r="K209" s="3">
        <v>675917.63</v>
      </c>
      <c r="L209" s="3">
        <v>112564.75</v>
      </c>
      <c r="M209" s="3">
        <v>0.0</v>
      </c>
      <c r="N209" s="3">
        <v>0.0</v>
      </c>
      <c r="O209" s="3">
        <v>0.0</v>
      </c>
      <c r="P209" s="3">
        <v>0.0</v>
      </c>
      <c r="Q209" s="3">
        <v>1.0</v>
      </c>
      <c r="R209" s="3">
        <v>0.0</v>
      </c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 t="s">
        <v>74</v>
      </c>
      <c r="B210" s="8">
        <v>45658.0</v>
      </c>
      <c r="C210" s="3">
        <v>63457.19</v>
      </c>
      <c r="D210" s="3">
        <v>10125.0</v>
      </c>
      <c r="E210" s="3">
        <v>0.097</v>
      </c>
      <c r="F210" s="3">
        <v>24.0</v>
      </c>
      <c r="G210" s="3">
        <v>87.0</v>
      </c>
      <c r="H210" s="3">
        <v>3.84</v>
      </c>
      <c r="I210" s="3">
        <v>1.0</v>
      </c>
      <c r="J210" s="3">
        <v>3.7</v>
      </c>
      <c r="K210" s="3">
        <v>810446.53</v>
      </c>
      <c r="L210" s="3">
        <v>200575.34</v>
      </c>
      <c r="M210" s="3">
        <v>0.0</v>
      </c>
      <c r="N210" s="3">
        <v>0.0</v>
      </c>
      <c r="O210" s="3">
        <v>0.0</v>
      </c>
      <c r="P210" s="3">
        <v>1.0</v>
      </c>
      <c r="Q210" s="3">
        <v>0.0</v>
      </c>
      <c r="R210" s="3">
        <v>0.0</v>
      </c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 t="s">
        <v>74</v>
      </c>
      <c r="B211" s="8">
        <v>45689.0</v>
      </c>
      <c r="C211" s="3">
        <v>62949.7</v>
      </c>
      <c r="D211" s="3">
        <v>9458.0</v>
      </c>
      <c r="E211" s="3">
        <v>0.171</v>
      </c>
      <c r="F211" s="3">
        <v>19.0</v>
      </c>
      <c r="G211" s="3">
        <v>84.9</v>
      </c>
      <c r="H211" s="3">
        <v>5.09</v>
      </c>
      <c r="I211" s="3">
        <v>0.0</v>
      </c>
      <c r="J211" s="3">
        <v>3.3</v>
      </c>
      <c r="K211" s="3">
        <v>691288.19</v>
      </c>
      <c r="L211" s="3">
        <v>159074.14</v>
      </c>
      <c r="M211" s="3">
        <v>0.0</v>
      </c>
      <c r="N211" s="3">
        <v>0.0</v>
      </c>
      <c r="O211" s="3">
        <v>0.0</v>
      </c>
      <c r="P211" s="3">
        <v>1.0</v>
      </c>
      <c r="Q211" s="3">
        <v>0.0</v>
      </c>
      <c r="R211" s="3">
        <v>0.0</v>
      </c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 t="s">
        <v>74</v>
      </c>
      <c r="B212" s="8">
        <v>45717.0</v>
      </c>
      <c r="C212" s="3">
        <v>107970.19</v>
      </c>
      <c r="D212" s="3">
        <v>12870.0</v>
      </c>
      <c r="E212" s="3">
        <v>0.029</v>
      </c>
      <c r="F212" s="3">
        <v>31.0</v>
      </c>
      <c r="G212" s="3">
        <v>91.7</v>
      </c>
      <c r="H212" s="3">
        <v>3.82</v>
      </c>
      <c r="I212" s="3">
        <v>1.0</v>
      </c>
      <c r="J212" s="3">
        <v>3.7</v>
      </c>
      <c r="K212" s="3">
        <v>946833.54</v>
      </c>
      <c r="L212" s="3">
        <v>184540.31</v>
      </c>
      <c r="M212" s="3">
        <v>0.0</v>
      </c>
      <c r="N212" s="3">
        <v>0.0</v>
      </c>
      <c r="O212" s="3">
        <v>0.0</v>
      </c>
      <c r="P212" s="3">
        <v>1.0</v>
      </c>
      <c r="Q212" s="3">
        <v>0.0</v>
      </c>
      <c r="R212" s="3">
        <v>0.0</v>
      </c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 t="s">
        <v>74</v>
      </c>
      <c r="B213" s="8">
        <v>45748.0</v>
      </c>
      <c r="C213" s="3">
        <v>49405.75</v>
      </c>
      <c r="D213" s="3">
        <v>9752.0</v>
      </c>
      <c r="E213" s="3">
        <v>0.093</v>
      </c>
      <c r="F213" s="3">
        <v>21.0</v>
      </c>
      <c r="G213" s="3">
        <v>87.0</v>
      </c>
      <c r="H213" s="3">
        <v>12.28</v>
      </c>
      <c r="I213" s="3">
        <v>0.0</v>
      </c>
      <c r="J213" s="3">
        <v>4.1</v>
      </c>
      <c r="K213" s="3">
        <v>761963.23</v>
      </c>
      <c r="L213" s="3">
        <v>150113.61</v>
      </c>
      <c r="M213" s="3">
        <v>0.0</v>
      </c>
      <c r="N213" s="3">
        <v>0.0</v>
      </c>
      <c r="O213" s="3">
        <v>0.0</v>
      </c>
      <c r="P213" s="3">
        <v>1.0</v>
      </c>
      <c r="Q213" s="3">
        <v>0.0</v>
      </c>
      <c r="R213" s="3">
        <v>0.0</v>
      </c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 t="s">
        <v>75</v>
      </c>
      <c r="B214" s="8">
        <v>45658.0</v>
      </c>
      <c r="C214" s="3">
        <v>50887.46</v>
      </c>
      <c r="D214" s="3">
        <v>9505.0</v>
      </c>
      <c r="E214" s="3">
        <v>0.091</v>
      </c>
      <c r="F214" s="3">
        <v>25.0</v>
      </c>
      <c r="G214" s="3">
        <v>89.7</v>
      </c>
      <c r="H214" s="3">
        <v>2.8</v>
      </c>
      <c r="I214" s="3">
        <v>0.0</v>
      </c>
      <c r="J214" s="3">
        <v>4.3</v>
      </c>
      <c r="K214" s="3">
        <v>812152.6</v>
      </c>
      <c r="L214" s="3">
        <v>138419.43</v>
      </c>
      <c r="M214" s="3">
        <v>0.0</v>
      </c>
      <c r="N214" s="3">
        <v>0.0</v>
      </c>
      <c r="O214" s="3">
        <v>1.0</v>
      </c>
      <c r="P214" s="3">
        <v>0.0</v>
      </c>
      <c r="Q214" s="3">
        <v>0.0</v>
      </c>
      <c r="R214" s="3">
        <v>1.0</v>
      </c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 t="s">
        <v>75</v>
      </c>
      <c r="B215" s="8">
        <v>45689.0</v>
      </c>
      <c r="C215" s="3">
        <v>41819.45</v>
      </c>
      <c r="D215" s="3">
        <v>9412.0</v>
      </c>
      <c r="E215" s="3">
        <v>0.15</v>
      </c>
      <c r="F215" s="3">
        <v>22.0</v>
      </c>
      <c r="G215" s="3">
        <v>91.0</v>
      </c>
      <c r="H215" s="3">
        <v>3.67</v>
      </c>
      <c r="I215" s="3">
        <v>0.0</v>
      </c>
      <c r="J215" s="3">
        <v>4.2</v>
      </c>
      <c r="K215" s="3">
        <v>804975.5</v>
      </c>
      <c r="L215" s="3">
        <v>140054.5</v>
      </c>
      <c r="M215" s="3">
        <v>0.0</v>
      </c>
      <c r="N215" s="3">
        <v>0.0</v>
      </c>
      <c r="O215" s="3">
        <v>1.0</v>
      </c>
      <c r="P215" s="3">
        <v>0.0</v>
      </c>
      <c r="Q215" s="3">
        <v>0.0</v>
      </c>
      <c r="R215" s="3">
        <v>1.0</v>
      </c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 t="s">
        <v>75</v>
      </c>
      <c r="B216" s="8">
        <v>45717.0</v>
      </c>
      <c r="C216" s="3">
        <v>35296.54</v>
      </c>
      <c r="D216" s="3">
        <v>9644.0</v>
      </c>
      <c r="E216" s="3">
        <v>0.0</v>
      </c>
      <c r="F216" s="3">
        <v>22.0</v>
      </c>
      <c r="G216" s="3">
        <v>88.0</v>
      </c>
      <c r="H216" s="3">
        <v>2.81</v>
      </c>
      <c r="I216" s="3">
        <v>0.0</v>
      </c>
      <c r="J216" s="3">
        <v>4.7</v>
      </c>
      <c r="K216" s="3">
        <v>752321.72</v>
      </c>
      <c r="L216" s="3">
        <v>137788.51</v>
      </c>
      <c r="M216" s="3">
        <v>0.0</v>
      </c>
      <c r="N216" s="3">
        <v>0.0</v>
      </c>
      <c r="O216" s="3">
        <v>1.0</v>
      </c>
      <c r="P216" s="3">
        <v>0.0</v>
      </c>
      <c r="Q216" s="3">
        <v>0.0</v>
      </c>
      <c r="R216" s="3">
        <v>1.0</v>
      </c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 t="s">
        <v>75</v>
      </c>
      <c r="B217" s="8">
        <v>45748.0</v>
      </c>
      <c r="C217" s="3">
        <v>47391.09</v>
      </c>
      <c r="D217" s="3">
        <v>11224.0</v>
      </c>
      <c r="E217" s="3">
        <v>0.147</v>
      </c>
      <c r="F217" s="3">
        <v>25.0</v>
      </c>
      <c r="G217" s="3">
        <v>88.4</v>
      </c>
      <c r="H217" s="3">
        <v>2.44</v>
      </c>
      <c r="I217" s="3">
        <v>0.0</v>
      </c>
      <c r="J217" s="3">
        <v>4.9</v>
      </c>
      <c r="K217" s="3">
        <v>836908.24</v>
      </c>
      <c r="L217" s="3">
        <v>141090.26</v>
      </c>
      <c r="M217" s="3">
        <v>0.0</v>
      </c>
      <c r="N217" s="3">
        <v>0.0</v>
      </c>
      <c r="O217" s="3">
        <v>1.0</v>
      </c>
      <c r="P217" s="3">
        <v>0.0</v>
      </c>
      <c r="Q217" s="3">
        <v>0.0</v>
      </c>
      <c r="R217" s="3">
        <v>1.0</v>
      </c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 t="s">
        <v>76</v>
      </c>
      <c r="B218" s="8">
        <v>45658.0</v>
      </c>
      <c r="C218" s="3">
        <v>69180.54</v>
      </c>
      <c r="D218" s="3">
        <v>5394.0</v>
      </c>
      <c r="E218" s="3">
        <v>0.126</v>
      </c>
      <c r="F218" s="3">
        <v>12.0</v>
      </c>
      <c r="G218" s="3">
        <v>82.9</v>
      </c>
      <c r="H218" s="3">
        <v>3.27</v>
      </c>
      <c r="I218" s="3">
        <v>0.0</v>
      </c>
      <c r="J218" s="3">
        <v>3.3</v>
      </c>
      <c r="K218" s="3">
        <v>674289.1</v>
      </c>
      <c r="L218" s="3">
        <v>117773.79</v>
      </c>
      <c r="M218" s="3">
        <v>1.0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 t="s">
        <v>76</v>
      </c>
      <c r="B219" s="8">
        <v>45689.0</v>
      </c>
      <c r="C219" s="3">
        <v>33987.33</v>
      </c>
      <c r="D219" s="3">
        <v>5014.0</v>
      </c>
      <c r="E219" s="3">
        <v>0.246</v>
      </c>
      <c r="F219" s="3">
        <v>17.0</v>
      </c>
      <c r="G219" s="3">
        <v>94.3</v>
      </c>
      <c r="H219" s="3">
        <v>10.34</v>
      </c>
      <c r="I219" s="3">
        <v>0.0</v>
      </c>
      <c r="J219" s="3">
        <v>3.9</v>
      </c>
      <c r="K219" s="3">
        <v>622892.42</v>
      </c>
      <c r="L219" s="3">
        <v>101032.52</v>
      </c>
      <c r="M219" s="3">
        <v>1.0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 t="s">
        <v>76</v>
      </c>
      <c r="B220" s="8">
        <v>45717.0</v>
      </c>
      <c r="C220" s="3">
        <v>58785.33</v>
      </c>
      <c r="D220" s="3">
        <v>4467.0</v>
      </c>
      <c r="E220" s="3">
        <v>0.229</v>
      </c>
      <c r="F220" s="3">
        <v>14.0</v>
      </c>
      <c r="G220" s="3">
        <v>90.7</v>
      </c>
      <c r="H220" s="3">
        <v>1.92</v>
      </c>
      <c r="I220" s="3">
        <v>0.0</v>
      </c>
      <c r="J220" s="3">
        <v>3.7</v>
      </c>
      <c r="K220" s="3">
        <v>673348.56</v>
      </c>
      <c r="L220" s="3">
        <v>69464.59</v>
      </c>
      <c r="M220" s="3">
        <v>1.0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 t="s">
        <v>76</v>
      </c>
      <c r="B221" s="8">
        <v>45748.0</v>
      </c>
      <c r="C221" s="3">
        <v>16451.85</v>
      </c>
      <c r="D221" s="3">
        <v>4678.0</v>
      </c>
      <c r="E221" s="3">
        <v>0.133</v>
      </c>
      <c r="F221" s="3">
        <v>11.0</v>
      </c>
      <c r="G221" s="3">
        <v>95.9</v>
      </c>
      <c r="H221" s="3">
        <v>3.1</v>
      </c>
      <c r="I221" s="3">
        <v>0.0</v>
      </c>
      <c r="J221" s="3">
        <v>3.9</v>
      </c>
      <c r="K221" s="3">
        <v>606278.3</v>
      </c>
      <c r="L221" s="3">
        <v>102213.26</v>
      </c>
      <c r="M221" s="3">
        <v>1.0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 t="s">
        <v>77</v>
      </c>
      <c r="B222" s="8">
        <v>45658.0</v>
      </c>
      <c r="C222" s="3">
        <v>53367.73</v>
      </c>
      <c r="D222" s="3">
        <v>7291.0</v>
      </c>
      <c r="E222" s="3">
        <v>0.146</v>
      </c>
      <c r="F222" s="3">
        <v>18.0</v>
      </c>
      <c r="G222" s="3">
        <v>90.6</v>
      </c>
      <c r="H222" s="3">
        <v>6.34</v>
      </c>
      <c r="I222" s="3">
        <v>1.0</v>
      </c>
      <c r="J222" s="3">
        <v>3.8</v>
      </c>
      <c r="K222" s="3">
        <v>712219.81</v>
      </c>
      <c r="L222" s="3">
        <v>85906.54</v>
      </c>
      <c r="M222" s="3">
        <v>0.0</v>
      </c>
      <c r="N222" s="3">
        <v>0.0</v>
      </c>
      <c r="O222" s="3">
        <v>0.0</v>
      </c>
      <c r="P222" s="3">
        <v>1.0</v>
      </c>
      <c r="Q222" s="3">
        <v>0.0</v>
      </c>
      <c r="R222" s="3">
        <v>0.0</v>
      </c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 t="s">
        <v>77</v>
      </c>
      <c r="B223" s="8">
        <v>45689.0</v>
      </c>
      <c r="C223" s="3">
        <v>27194.64</v>
      </c>
      <c r="D223" s="3">
        <v>7404.0</v>
      </c>
      <c r="E223" s="3">
        <v>0.088</v>
      </c>
      <c r="F223" s="3">
        <v>18.0</v>
      </c>
      <c r="G223" s="3">
        <v>90.2</v>
      </c>
      <c r="H223" s="3">
        <v>1.2</v>
      </c>
      <c r="I223" s="3">
        <v>0.0</v>
      </c>
      <c r="J223" s="3">
        <v>3.4</v>
      </c>
      <c r="K223" s="3">
        <v>672670.54</v>
      </c>
      <c r="L223" s="3">
        <v>132684.18</v>
      </c>
      <c r="M223" s="3">
        <v>0.0</v>
      </c>
      <c r="N223" s="3">
        <v>0.0</v>
      </c>
      <c r="O223" s="3">
        <v>0.0</v>
      </c>
      <c r="P223" s="3">
        <v>1.0</v>
      </c>
      <c r="Q223" s="3">
        <v>0.0</v>
      </c>
      <c r="R223" s="3">
        <v>0.0</v>
      </c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 t="s">
        <v>77</v>
      </c>
      <c r="B224" s="8">
        <v>45717.0</v>
      </c>
      <c r="C224" s="3">
        <v>66962.74</v>
      </c>
      <c r="D224" s="3">
        <v>7880.0</v>
      </c>
      <c r="E224" s="3">
        <v>0.116</v>
      </c>
      <c r="F224" s="3">
        <v>19.0</v>
      </c>
      <c r="G224" s="3">
        <v>90.4</v>
      </c>
      <c r="H224" s="3">
        <v>4.5</v>
      </c>
      <c r="I224" s="3">
        <v>0.0</v>
      </c>
      <c r="J224" s="3">
        <v>3.3</v>
      </c>
      <c r="K224" s="3">
        <v>732667.92</v>
      </c>
      <c r="L224" s="3">
        <v>128654.46</v>
      </c>
      <c r="M224" s="3">
        <v>0.0</v>
      </c>
      <c r="N224" s="3">
        <v>0.0</v>
      </c>
      <c r="O224" s="3">
        <v>0.0</v>
      </c>
      <c r="P224" s="3">
        <v>1.0</v>
      </c>
      <c r="Q224" s="3">
        <v>0.0</v>
      </c>
      <c r="R224" s="3">
        <v>0.0</v>
      </c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 t="s">
        <v>77</v>
      </c>
      <c r="B225" s="8">
        <v>45748.0</v>
      </c>
      <c r="C225" s="3">
        <v>73540.99</v>
      </c>
      <c r="D225" s="3">
        <v>8773.0</v>
      </c>
      <c r="E225" s="3">
        <v>0.035</v>
      </c>
      <c r="F225" s="3">
        <v>21.0</v>
      </c>
      <c r="G225" s="3">
        <v>84.4</v>
      </c>
      <c r="H225" s="3">
        <v>6.68</v>
      </c>
      <c r="I225" s="3">
        <v>0.0</v>
      </c>
      <c r="J225" s="3">
        <v>3.6</v>
      </c>
      <c r="K225" s="3">
        <v>723531.4</v>
      </c>
      <c r="L225" s="3">
        <v>108794.85</v>
      </c>
      <c r="M225" s="3">
        <v>0.0</v>
      </c>
      <c r="N225" s="3">
        <v>0.0</v>
      </c>
      <c r="O225" s="3">
        <v>0.0</v>
      </c>
      <c r="P225" s="3">
        <v>1.0</v>
      </c>
      <c r="Q225" s="3">
        <v>0.0</v>
      </c>
      <c r="R225" s="3">
        <v>0.0</v>
      </c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 t="s">
        <v>78</v>
      </c>
      <c r="B226" s="8">
        <v>45658.0</v>
      </c>
      <c r="C226" s="3">
        <v>68212.29</v>
      </c>
      <c r="D226" s="3">
        <v>4713.0</v>
      </c>
      <c r="E226" s="3">
        <v>0.198</v>
      </c>
      <c r="F226" s="3">
        <v>15.0</v>
      </c>
      <c r="G226" s="3">
        <v>82.6</v>
      </c>
      <c r="H226" s="3">
        <v>4.07</v>
      </c>
      <c r="I226" s="3">
        <v>1.0</v>
      </c>
      <c r="J226" s="3">
        <v>3.0</v>
      </c>
      <c r="K226" s="3">
        <v>641564.6</v>
      </c>
      <c r="L226" s="3">
        <v>90468.96</v>
      </c>
      <c r="M226" s="3">
        <v>0.0</v>
      </c>
      <c r="N226" s="3">
        <v>0.0</v>
      </c>
      <c r="O226" s="3">
        <v>0.0</v>
      </c>
      <c r="P226" s="3">
        <v>0.0</v>
      </c>
      <c r="Q226" s="3">
        <v>1.0</v>
      </c>
      <c r="R226" s="3">
        <v>0.0</v>
      </c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 t="s">
        <v>78</v>
      </c>
      <c r="B227" s="8">
        <v>45689.0</v>
      </c>
      <c r="C227" s="3">
        <v>57225.98</v>
      </c>
      <c r="D227" s="3">
        <v>2842.0</v>
      </c>
      <c r="E227" s="3">
        <v>0.112</v>
      </c>
      <c r="F227" s="3">
        <v>10.0</v>
      </c>
      <c r="G227" s="3">
        <v>79.5</v>
      </c>
      <c r="H227" s="3">
        <v>5.45</v>
      </c>
      <c r="I227" s="3">
        <v>0.0</v>
      </c>
      <c r="J227" s="3">
        <v>3.4</v>
      </c>
      <c r="K227" s="3">
        <v>536545.49</v>
      </c>
      <c r="L227" s="3">
        <v>97917.45</v>
      </c>
      <c r="M227" s="3">
        <v>0.0</v>
      </c>
      <c r="N227" s="3">
        <v>0.0</v>
      </c>
      <c r="O227" s="3">
        <v>0.0</v>
      </c>
      <c r="P227" s="3">
        <v>0.0</v>
      </c>
      <c r="Q227" s="3">
        <v>1.0</v>
      </c>
      <c r="R227" s="3">
        <v>0.0</v>
      </c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 t="s">
        <v>78</v>
      </c>
      <c r="B228" s="8">
        <v>45717.0</v>
      </c>
      <c r="C228" s="3">
        <v>42932.02</v>
      </c>
      <c r="D228" s="3">
        <v>3872.0</v>
      </c>
      <c r="E228" s="3">
        <v>0.171</v>
      </c>
      <c r="F228" s="3">
        <v>12.0</v>
      </c>
      <c r="G228" s="3">
        <v>83.2</v>
      </c>
      <c r="H228" s="3">
        <v>15.58</v>
      </c>
      <c r="I228" s="3">
        <v>0.0</v>
      </c>
      <c r="J228" s="3">
        <v>3.3</v>
      </c>
      <c r="K228" s="3">
        <v>527681.56</v>
      </c>
      <c r="L228" s="3">
        <v>63153.05</v>
      </c>
      <c r="M228" s="3">
        <v>0.0</v>
      </c>
      <c r="N228" s="3">
        <v>0.0</v>
      </c>
      <c r="O228" s="3">
        <v>0.0</v>
      </c>
      <c r="P228" s="3">
        <v>0.0</v>
      </c>
      <c r="Q228" s="3">
        <v>1.0</v>
      </c>
      <c r="R228" s="3">
        <v>0.0</v>
      </c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 t="s">
        <v>78</v>
      </c>
      <c r="B229" s="8">
        <v>45748.0</v>
      </c>
      <c r="C229" s="3">
        <v>39341.45</v>
      </c>
      <c r="D229" s="3">
        <v>1375.0</v>
      </c>
      <c r="E229" s="3">
        <v>0.093</v>
      </c>
      <c r="F229" s="3">
        <v>5.0</v>
      </c>
      <c r="G229" s="3">
        <v>95.0</v>
      </c>
      <c r="H229" s="3">
        <v>5.32</v>
      </c>
      <c r="I229" s="3">
        <v>0.0</v>
      </c>
      <c r="J229" s="3">
        <v>3.9</v>
      </c>
      <c r="K229" s="3">
        <v>529598.94</v>
      </c>
      <c r="L229" s="3">
        <v>84334.33</v>
      </c>
      <c r="M229" s="3">
        <v>0.0</v>
      </c>
      <c r="N229" s="3">
        <v>0.0</v>
      </c>
      <c r="O229" s="3">
        <v>0.0</v>
      </c>
      <c r="P229" s="3">
        <v>0.0</v>
      </c>
      <c r="Q229" s="3">
        <v>1.0</v>
      </c>
      <c r="R229" s="3">
        <v>0.0</v>
      </c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 t="s">
        <v>79</v>
      </c>
      <c r="B230" s="8">
        <v>45658.0</v>
      </c>
      <c r="C230" s="3">
        <v>37324.23</v>
      </c>
      <c r="D230" s="3">
        <v>5957.0</v>
      </c>
      <c r="E230" s="3">
        <v>0.071</v>
      </c>
      <c r="F230" s="3">
        <v>12.0</v>
      </c>
      <c r="G230" s="3">
        <v>85.9</v>
      </c>
      <c r="H230" s="3">
        <v>0.37</v>
      </c>
      <c r="I230" s="3">
        <v>0.0</v>
      </c>
      <c r="J230" s="3">
        <v>3.8</v>
      </c>
      <c r="K230" s="3">
        <v>570963.31</v>
      </c>
      <c r="L230" s="3">
        <v>87342.25</v>
      </c>
      <c r="M230" s="3">
        <v>0.0</v>
      </c>
      <c r="N230" s="3">
        <v>0.0</v>
      </c>
      <c r="O230" s="3">
        <v>0.0</v>
      </c>
      <c r="P230" s="3">
        <v>1.0</v>
      </c>
      <c r="Q230" s="3">
        <v>0.0</v>
      </c>
      <c r="R230" s="3">
        <v>0.0</v>
      </c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 t="s">
        <v>79</v>
      </c>
      <c r="B231" s="8">
        <v>45689.0</v>
      </c>
      <c r="C231" s="3">
        <v>113736.0</v>
      </c>
      <c r="D231" s="3">
        <v>8961.0</v>
      </c>
      <c r="E231" s="3">
        <v>0.202</v>
      </c>
      <c r="F231" s="3">
        <v>24.0</v>
      </c>
      <c r="G231" s="3">
        <v>86.2</v>
      </c>
      <c r="H231" s="3">
        <v>21.63</v>
      </c>
      <c r="I231" s="3">
        <v>0.0</v>
      </c>
      <c r="J231" s="3">
        <v>4.0</v>
      </c>
      <c r="K231" s="3">
        <v>870937.4</v>
      </c>
      <c r="L231" s="3">
        <v>175282.74</v>
      </c>
      <c r="M231" s="3">
        <v>0.0</v>
      </c>
      <c r="N231" s="3">
        <v>0.0</v>
      </c>
      <c r="O231" s="3">
        <v>0.0</v>
      </c>
      <c r="P231" s="3">
        <v>1.0</v>
      </c>
      <c r="Q231" s="3">
        <v>0.0</v>
      </c>
      <c r="R231" s="3">
        <v>0.0</v>
      </c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 t="s">
        <v>79</v>
      </c>
      <c r="B232" s="8">
        <v>45717.0</v>
      </c>
      <c r="C232" s="3">
        <v>33173.95</v>
      </c>
      <c r="D232" s="3">
        <v>6545.0</v>
      </c>
      <c r="E232" s="3">
        <v>0.169</v>
      </c>
      <c r="F232" s="3">
        <v>15.0</v>
      </c>
      <c r="G232" s="3">
        <v>84.4</v>
      </c>
      <c r="H232" s="3">
        <v>2.48</v>
      </c>
      <c r="I232" s="3">
        <v>0.0</v>
      </c>
      <c r="J232" s="3">
        <v>3.9</v>
      </c>
      <c r="K232" s="3">
        <v>596969.27</v>
      </c>
      <c r="L232" s="3">
        <v>105669.51</v>
      </c>
      <c r="M232" s="3">
        <v>0.0</v>
      </c>
      <c r="N232" s="3">
        <v>0.0</v>
      </c>
      <c r="O232" s="3">
        <v>0.0</v>
      </c>
      <c r="P232" s="3">
        <v>1.0</v>
      </c>
      <c r="Q232" s="3">
        <v>0.0</v>
      </c>
      <c r="R232" s="3">
        <v>0.0</v>
      </c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 t="s">
        <v>79</v>
      </c>
      <c r="B233" s="8">
        <v>45748.0</v>
      </c>
      <c r="C233" s="3">
        <v>25818.08</v>
      </c>
      <c r="D233" s="3">
        <v>5457.0</v>
      </c>
      <c r="E233" s="3">
        <v>0.0</v>
      </c>
      <c r="F233" s="3">
        <v>11.0</v>
      </c>
      <c r="G233" s="3">
        <v>95.4</v>
      </c>
      <c r="H233" s="3">
        <v>3.365</v>
      </c>
      <c r="I233" s="3">
        <v>0.0</v>
      </c>
      <c r="J233" s="3">
        <v>3.7</v>
      </c>
      <c r="K233" s="3">
        <v>647512.85</v>
      </c>
      <c r="L233" s="3">
        <v>153835.57</v>
      </c>
      <c r="M233" s="3">
        <v>0.0</v>
      </c>
      <c r="N233" s="3">
        <v>0.0</v>
      </c>
      <c r="O233" s="3">
        <v>0.0</v>
      </c>
      <c r="P233" s="3">
        <v>1.0</v>
      </c>
      <c r="Q233" s="3">
        <v>0.0</v>
      </c>
      <c r="R233" s="3">
        <v>0.0</v>
      </c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 t="s">
        <v>80</v>
      </c>
      <c r="B234" s="8">
        <v>45658.0</v>
      </c>
      <c r="C234" s="3">
        <v>47241.92</v>
      </c>
      <c r="D234" s="3">
        <v>4264.0</v>
      </c>
      <c r="E234" s="3">
        <v>0.069</v>
      </c>
      <c r="F234" s="3">
        <v>13.0</v>
      </c>
      <c r="G234" s="3">
        <v>95.3</v>
      </c>
      <c r="H234" s="3">
        <v>0.85</v>
      </c>
      <c r="I234" s="3">
        <v>0.0</v>
      </c>
      <c r="J234" s="3">
        <v>4.3</v>
      </c>
      <c r="K234" s="3">
        <v>658072.14</v>
      </c>
      <c r="L234" s="3">
        <v>110595.89</v>
      </c>
      <c r="M234" s="3">
        <v>0.0</v>
      </c>
      <c r="N234" s="3">
        <v>0.0</v>
      </c>
      <c r="O234" s="3">
        <v>1.0</v>
      </c>
      <c r="P234" s="3">
        <v>0.0</v>
      </c>
      <c r="Q234" s="3">
        <v>0.0</v>
      </c>
      <c r="R234" s="3">
        <v>1.0</v>
      </c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 t="s">
        <v>80</v>
      </c>
      <c r="B235" s="8">
        <v>45689.0</v>
      </c>
      <c r="C235" s="3">
        <v>61650.79</v>
      </c>
      <c r="D235" s="3">
        <v>5321.0</v>
      </c>
      <c r="E235" s="3">
        <v>0.126</v>
      </c>
      <c r="F235" s="3">
        <v>17.0</v>
      </c>
      <c r="G235" s="3">
        <v>89.2</v>
      </c>
      <c r="H235" s="3">
        <v>2.13</v>
      </c>
      <c r="I235" s="3">
        <v>0.0</v>
      </c>
      <c r="J235" s="3">
        <v>4.0</v>
      </c>
      <c r="K235" s="3">
        <v>723305.11</v>
      </c>
      <c r="L235" s="3">
        <v>128468.7</v>
      </c>
      <c r="M235" s="3">
        <v>0.0</v>
      </c>
      <c r="N235" s="3">
        <v>0.0</v>
      </c>
      <c r="O235" s="3">
        <v>1.0</v>
      </c>
      <c r="P235" s="3">
        <v>0.0</v>
      </c>
      <c r="Q235" s="3">
        <v>0.0</v>
      </c>
      <c r="R235" s="3">
        <v>1.0</v>
      </c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 t="s">
        <v>80</v>
      </c>
      <c r="B236" s="8">
        <v>45717.0</v>
      </c>
      <c r="C236" s="3">
        <v>62582.71</v>
      </c>
      <c r="D236" s="3">
        <v>5479.0</v>
      </c>
      <c r="E236" s="3">
        <v>0.048</v>
      </c>
      <c r="F236" s="3">
        <v>16.0</v>
      </c>
      <c r="G236" s="3">
        <v>81.2</v>
      </c>
      <c r="H236" s="3">
        <v>1.46</v>
      </c>
      <c r="I236" s="3">
        <v>0.0</v>
      </c>
      <c r="J236" s="3">
        <v>4.5</v>
      </c>
      <c r="K236" s="3">
        <v>640666.53</v>
      </c>
      <c r="L236" s="3">
        <v>134919.16</v>
      </c>
      <c r="M236" s="3">
        <v>0.0</v>
      </c>
      <c r="N236" s="3">
        <v>0.0</v>
      </c>
      <c r="O236" s="3">
        <v>1.0</v>
      </c>
      <c r="P236" s="3">
        <v>0.0</v>
      </c>
      <c r="Q236" s="3">
        <v>0.0</v>
      </c>
      <c r="R236" s="3">
        <v>1.0</v>
      </c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 t="s">
        <v>80</v>
      </c>
      <c r="B237" s="8">
        <v>45748.0</v>
      </c>
      <c r="C237" s="3">
        <v>47944.14</v>
      </c>
      <c r="D237" s="3">
        <v>6169.0</v>
      </c>
      <c r="E237" s="3">
        <v>0.119</v>
      </c>
      <c r="F237" s="3">
        <v>17.0</v>
      </c>
      <c r="G237" s="3">
        <v>92.2</v>
      </c>
      <c r="H237" s="3">
        <v>3.02</v>
      </c>
      <c r="I237" s="3">
        <v>0.0</v>
      </c>
      <c r="J237" s="3">
        <v>4.1</v>
      </c>
      <c r="K237" s="3">
        <v>670629.48</v>
      </c>
      <c r="L237" s="3">
        <v>100140.8</v>
      </c>
      <c r="M237" s="3">
        <v>0.0</v>
      </c>
      <c r="N237" s="3">
        <v>0.0</v>
      </c>
      <c r="O237" s="3">
        <v>1.0</v>
      </c>
      <c r="P237" s="3">
        <v>0.0</v>
      </c>
      <c r="Q237" s="3">
        <v>0.0</v>
      </c>
      <c r="R237" s="3">
        <v>1.0</v>
      </c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 t="s">
        <v>81</v>
      </c>
      <c r="B238" s="8">
        <v>45658.0</v>
      </c>
      <c r="C238" s="3">
        <v>46495.4</v>
      </c>
      <c r="D238" s="3">
        <v>9908.0</v>
      </c>
      <c r="E238" s="3">
        <v>0.121</v>
      </c>
      <c r="F238" s="3">
        <v>22.0</v>
      </c>
      <c r="G238" s="3">
        <v>89.4</v>
      </c>
      <c r="H238" s="3">
        <v>3.22</v>
      </c>
      <c r="I238" s="3">
        <v>0.0</v>
      </c>
      <c r="J238" s="3">
        <v>3.7</v>
      </c>
      <c r="K238" s="3">
        <v>721079.35</v>
      </c>
      <c r="L238" s="3">
        <v>115295.05</v>
      </c>
      <c r="M238" s="3">
        <v>0.0</v>
      </c>
      <c r="N238" s="3">
        <v>0.0</v>
      </c>
      <c r="O238" s="3">
        <v>1.0</v>
      </c>
      <c r="P238" s="3">
        <v>0.0</v>
      </c>
      <c r="Q238" s="3">
        <v>1.0</v>
      </c>
      <c r="R238" s="3">
        <v>0.0</v>
      </c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 t="s">
        <v>81</v>
      </c>
      <c r="B239" s="8">
        <v>45689.0</v>
      </c>
      <c r="C239" s="3">
        <v>72961.95</v>
      </c>
      <c r="D239" s="3">
        <v>9996.0</v>
      </c>
      <c r="E239" s="3">
        <v>0.106</v>
      </c>
      <c r="F239" s="3">
        <v>22.0</v>
      </c>
      <c r="G239" s="3">
        <v>89.1</v>
      </c>
      <c r="H239" s="3">
        <v>15.66</v>
      </c>
      <c r="I239" s="3">
        <v>0.0</v>
      </c>
      <c r="J239" s="3">
        <v>3.4</v>
      </c>
      <c r="K239" s="3">
        <v>810355.02</v>
      </c>
      <c r="L239" s="3">
        <v>131510.0</v>
      </c>
      <c r="M239" s="3">
        <v>0.0</v>
      </c>
      <c r="N239" s="3">
        <v>0.0</v>
      </c>
      <c r="O239" s="3">
        <v>1.0</v>
      </c>
      <c r="P239" s="3">
        <v>0.0</v>
      </c>
      <c r="Q239" s="3">
        <v>1.0</v>
      </c>
      <c r="R239" s="3">
        <v>0.0</v>
      </c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 t="s">
        <v>81</v>
      </c>
      <c r="B240" s="8">
        <v>45717.0</v>
      </c>
      <c r="C240" s="3">
        <v>59060.05</v>
      </c>
      <c r="D240" s="3">
        <v>9702.0</v>
      </c>
      <c r="E240" s="3">
        <v>0.201</v>
      </c>
      <c r="F240" s="3">
        <v>23.0</v>
      </c>
      <c r="G240" s="3">
        <v>80.9</v>
      </c>
      <c r="H240" s="3">
        <v>6.96</v>
      </c>
      <c r="I240" s="3">
        <v>0.0</v>
      </c>
      <c r="J240" s="3">
        <v>3.2</v>
      </c>
      <c r="K240" s="3">
        <v>761919.25</v>
      </c>
      <c r="L240" s="3">
        <v>111893.06</v>
      </c>
      <c r="M240" s="3">
        <v>0.0</v>
      </c>
      <c r="N240" s="3">
        <v>0.0</v>
      </c>
      <c r="O240" s="3">
        <v>1.0</v>
      </c>
      <c r="P240" s="3">
        <v>0.0</v>
      </c>
      <c r="Q240" s="3">
        <v>1.0</v>
      </c>
      <c r="R240" s="3">
        <v>0.0</v>
      </c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 t="s">
        <v>81</v>
      </c>
      <c r="B241" s="8">
        <v>45748.0</v>
      </c>
      <c r="C241" s="3">
        <v>26248.1</v>
      </c>
      <c r="D241" s="3">
        <v>9314.0</v>
      </c>
      <c r="E241" s="3">
        <v>0.186</v>
      </c>
      <c r="F241" s="3">
        <v>21.0</v>
      </c>
      <c r="G241" s="3">
        <v>83.7</v>
      </c>
      <c r="H241" s="3">
        <v>4.62</v>
      </c>
      <c r="I241" s="3">
        <v>0.0</v>
      </c>
      <c r="J241" s="3">
        <v>3.3</v>
      </c>
      <c r="K241" s="3">
        <v>737070.18</v>
      </c>
      <c r="L241" s="3">
        <v>117593.97</v>
      </c>
      <c r="M241" s="3">
        <v>0.0</v>
      </c>
      <c r="N241" s="3">
        <v>0.0</v>
      </c>
      <c r="O241" s="3">
        <v>1.0</v>
      </c>
      <c r="P241" s="3">
        <v>0.0</v>
      </c>
      <c r="Q241" s="3">
        <v>1.0</v>
      </c>
      <c r="R241" s="3">
        <v>0.0</v>
      </c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 t="s">
        <v>82</v>
      </c>
      <c r="B242" s="8">
        <v>45658.0</v>
      </c>
      <c r="C242" s="3">
        <v>69900.12</v>
      </c>
      <c r="D242" s="3">
        <v>8055.0</v>
      </c>
      <c r="E242" s="3">
        <v>0.281</v>
      </c>
      <c r="F242" s="3">
        <v>22.0</v>
      </c>
      <c r="G242" s="3">
        <v>85.6</v>
      </c>
      <c r="H242" s="3">
        <v>10.68</v>
      </c>
      <c r="I242" s="3">
        <v>1.0</v>
      </c>
      <c r="J242" s="3">
        <v>2.9</v>
      </c>
      <c r="K242" s="3">
        <v>776992.93</v>
      </c>
      <c r="L242" s="3">
        <v>101598.32</v>
      </c>
      <c r="M242" s="3">
        <v>0.0</v>
      </c>
      <c r="N242" s="3">
        <v>1.0</v>
      </c>
      <c r="O242" s="3">
        <v>0.0</v>
      </c>
      <c r="P242" s="3">
        <v>0.0</v>
      </c>
      <c r="Q242" s="3">
        <v>0.0</v>
      </c>
      <c r="R242" s="3">
        <v>0.0</v>
      </c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 t="s">
        <v>82</v>
      </c>
      <c r="B243" s="8">
        <v>45689.0</v>
      </c>
      <c r="C243" s="3">
        <v>51781.6</v>
      </c>
      <c r="D243" s="3">
        <v>5648.0</v>
      </c>
      <c r="E243" s="3">
        <v>0.059</v>
      </c>
      <c r="F243" s="3">
        <v>13.0</v>
      </c>
      <c r="G243" s="3">
        <v>85.5</v>
      </c>
      <c r="H243" s="3">
        <v>4.04</v>
      </c>
      <c r="I243" s="3">
        <v>0.0</v>
      </c>
      <c r="J243" s="3">
        <v>3.7</v>
      </c>
      <c r="K243" s="3">
        <v>676337.41</v>
      </c>
      <c r="L243" s="3">
        <v>104355.77</v>
      </c>
      <c r="M243" s="3">
        <v>0.0</v>
      </c>
      <c r="N243" s="3">
        <v>1.0</v>
      </c>
      <c r="O243" s="3">
        <v>0.0</v>
      </c>
      <c r="P243" s="3">
        <v>0.0</v>
      </c>
      <c r="Q243" s="3">
        <v>0.0</v>
      </c>
      <c r="R243" s="3">
        <v>0.0</v>
      </c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 t="s">
        <v>82</v>
      </c>
      <c r="B244" s="8">
        <v>45717.0</v>
      </c>
      <c r="C244" s="3">
        <v>70799.64</v>
      </c>
      <c r="D244" s="3">
        <v>10076.0</v>
      </c>
      <c r="E244" s="3">
        <v>0.152</v>
      </c>
      <c r="F244" s="3">
        <v>24.0</v>
      </c>
      <c r="G244" s="3">
        <v>84.8</v>
      </c>
      <c r="H244" s="3">
        <v>1.87</v>
      </c>
      <c r="I244" s="3">
        <v>0.0</v>
      </c>
      <c r="J244" s="3">
        <v>3.5</v>
      </c>
      <c r="K244" s="3">
        <v>828219.67</v>
      </c>
      <c r="L244" s="3">
        <v>179806.87</v>
      </c>
      <c r="M244" s="3">
        <v>0.0</v>
      </c>
      <c r="N244" s="3">
        <v>1.0</v>
      </c>
      <c r="O244" s="3">
        <v>0.0</v>
      </c>
      <c r="P244" s="3">
        <v>0.0</v>
      </c>
      <c r="Q244" s="3">
        <v>0.0</v>
      </c>
      <c r="R244" s="3">
        <v>0.0</v>
      </c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 t="s">
        <v>82</v>
      </c>
      <c r="B245" s="8">
        <v>45748.0</v>
      </c>
      <c r="C245" s="3">
        <v>53546.34</v>
      </c>
      <c r="D245" s="3">
        <v>8004.0</v>
      </c>
      <c r="E245" s="3">
        <v>0.0</v>
      </c>
      <c r="F245" s="3">
        <v>21.0</v>
      </c>
      <c r="G245" s="3">
        <v>95.2</v>
      </c>
      <c r="H245" s="3">
        <v>2.83</v>
      </c>
      <c r="I245" s="3">
        <v>0.0</v>
      </c>
      <c r="J245" s="3">
        <v>3.0</v>
      </c>
      <c r="K245" s="3">
        <v>763159.92</v>
      </c>
      <c r="L245" s="3">
        <v>177104.87</v>
      </c>
      <c r="M245" s="3">
        <v>0.0</v>
      </c>
      <c r="N245" s="3">
        <v>1.0</v>
      </c>
      <c r="O245" s="3">
        <v>0.0</v>
      </c>
      <c r="P245" s="3">
        <v>0.0</v>
      </c>
      <c r="Q245" s="3">
        <v>0.0</v>
      </c>
      <c r="R245" s="3">
        <v>0.0</v>
      </c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 t="s">
        <v>83</v>
      </c>
      <c r="B246" s="8">
        <v>45658.0</v>
      </c>
      <c r="C246" s="3">
        <v>76942.2</v>
      </c>
      <c r="D246" s="3">
        <v>8934.0</v>
      </c>
      <c r="E246" s="3">
        <v>0.084</v>
      </c>
      <c r="F246" s="3">
        <v>20.0</v>
      </c>
      <c r="G246" s="3">
        <v>91.0</v>
      </c>
      <c r="H246" s="3">
        <v>0.95</v>
      </c>
      <c r="I246" s="3">
        <v>0.0</v>
      </c>
      <c r="J246" s="3">
        <v>3.2</v>
      </c>
      <c r="K246" s="3">
        <v>802001.68</v>
      </c>
      <c r="L246" s="3">
        <v>159715.82</v>
      </c>
      <c r="M246" s="3">
        <v>0.0</v>
      </c>
      <c r="N246" s="3">
        <v>0.0</v>
      </c>
      <c r="O246" s="3">
        <v>0.0</v>
      </c>
      <c r="P246" s="3">
        <v>1.0</v>
      </c>
      <c r="Q246" s="3">
        <v>0.0</v>
      </c>
      <c r="R246" s="3">
        <v>0.0</v>
      </c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 t="s">
        <v>83</v>
      </c>
      <c r="B247" s="8">
        <v>45689.0</v>
      </c>
      <c r="C247" s="3">
        <v>48060.78</v>
      </c>
      <c r="D247" s="3">
        <v>8733.0</v>
      </c>
      <c r="E247" s="3">
        <v>0.0</v>
      </c>
      <c r="F247" s="3">
        <v>20.0</v>
      </c>
      <c r="G247" s="3">
        <v>89.9</v>
      </c>
      <c r="H247" s="3">
        <v>0.8</v>
      </c>
      <c r="I247" s="3">
        <v>0.0</v>
      </c>
      <c r="J247" s="3">
        <v>3.4</v>
      </c>
      <c r="K247" s="3">
        <v>750471.34</v>
      </c>
      <c r="L247" s="3">
        <v>133788.04</v>
      </c>
      <c r="M247" s="3">
        <v>0.0</v>
      </c>
      <c r="N247" s="3">
        <v>0.0</v>
      </c>
      <c r="O247" s="3">
        <v>0.0</v>
      </c>
      <c r="P247" s="3">
        <v>1.0</v>
      </c>
      <c r="Q247" s="3">
        <v>0.0</v>
      </c>
      <c r="R247" s="3">
        <v>0.0</v>
      </c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 t="s">
        <v>83</v>
      </c>
      <c r="B248" s="8">
        <v>45717.0</v>
      </c>
      <c r="C248" s="3">
        <v>57390.04</v>
      </c>
      <c r="D248" s="3">
        <v>7374.0</v>
      </c>
      <c r="E248" s="3">
        <v>0.21</v>
      </c>
      <c r="F248" s="3">
        <v>21.0</v>
      </c>
      <c r="G248" s="3">
        <v>91.8</v>
      </c>
      <c r="H248" s="3">
        <v>0.2</v>
      </c>
      <c r="I248" s="3">
        <v>0.0</v>
      </c>
      <c r="J248" s="3">
        <v>3.1</v>
      </c>
      <c r="K248" s="3">
        <v>679230.86</v>
      </c>
      <c r="L248" s="3">
        <v>106927.58</v>
      </c>
      <c r="M248" s="3">
        <v>0.0</v>
      </c>
      <c r="N248" s="3">
        <v>0.0</v>
      </c>
      <c r="O248" s="3">
        <v>0.0</v>
      </c>
      <c r="P248" s="3">
        <v>1.0</v>
      </c>
      <c r="Q248" s="3">
        <v>0.0</v>
      </c>
      <c r="R248" s="3">
        <v>0.0</v>
      </c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 t="s">
        <v>83</v>
      </c>
      <c r="B249" s="8">
        <v>45748.0</v>
      </c>
      <c r="C249" s="3">
        <v>21536.18</v>
      </c>
      <c r="D249" s="3">
        <v>8119.0</v>
      </c>
      <c r="E249" s="3">
        <v>0.227</v>
      </c>
      <c r="F249" s="3">
        <v>20.0</v>
      </c>
      <c r="G249" s="3">
        <v>90.4</v>
      </c>
      <c r="H249" s="3">
        <v>1.7</v>
      </c>
      <c r="I249" s="3">
        <v>0.0</v>
      </c>
      <c r="J249" s="3">
        <v>3.3</v>
      </c>
      <c r="K249" s="3">
        <v>679888.74</v>
      </c>
      <c r="L249" s="3">
        <v>83406.89</v>
      </c>
      <c r="M249" s="3">
        <v>0.0</v>
      </c>
      <c r="N249" s="3">
        <v>0.0</v>
      </c>
      <c r="O249" s="3">
        <v>0.0</v>
      </c>
      <c r="P249" s="3">
        <v>1.0</v>
      </c>
      <c r="Q249" s="3">
        <v>0.0</v>
      </c>
      <c r="R249" s="3">
        <v>0.0</v>
      </c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 t="s">
        <v>84</v>
      </c>
      <c r="B250" s="8">
        <v>45658.0</v>
      </c>
      <c r="C250" s="3">
        <v>40923.67</v>
      </c>
      <c r="D250" s="3">
        <v>3875.0</v>
      </c>
      <c r="E250" s="3">
        <v>0.15</v>
      </c>
      <c r="F250" s="3">
        <v>10.0</v>
      </c>
      <c r="G250" s="3">
        <v>96.1</v>
      </c>
      <c r="H250" s="3">
        <v>3.365</v>
      </c>
      <c r="I250" s="3">
        <v>0.0</v>
      </c>
      <c r="J250" s="3">
        <v>3.8</v>
      </c>
      <c r="K250" s="3">
        <v>606783.67</v>
      </c>
      <c r="L250" s="3">
        <v>74515.87</v>
      </c>
      <c r="M250" s="3">
        <v>1.0</v>
      </c>
      <c r="N250" s="3">
        <v>0.0</v>
      </c>
      <c r="O250" s="3">
        <v>0.0</v>
      </c>
      <c r="P250" s="3">
        <v>1.0</v>
      </c>
      <c r="Q250" s="3">
        <v>0.0</v>
      </c>
      <c r="R250" s="3">
        <v>0.0</v>
      </c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 t="s">
        <v>84</v>
      </c>
      <c r="B251" s="8">
        <v>45689.0</v>
      </c>
      <c r="C251" s="3">
        <v>72932.55</v>
      </c>
      <c r="D251" s="3">
        <v>5765.0</v>
      </c>
      <c r="E251" s="3">
        <v>0.026</v>
      </c>
      <c r="F251" s="3">
        <v>17.0</v>
      </c>
      <c r="G251" s="3">
        <v>81.8</v>
      </c>
      <c r="H251" s="3">
        <v>5.1</v>
      </c>
      <c r="I251" s="3">
        <v>0.0</v>
      </c>
      <c r="J251" s="3">
        <v>3.6</v>
      </c>
      <c r="K251" s="3">
        <v>642751.42</v>
      </c>
      <c r="L251" s="3">
        <v>131942.15</v>
      </c>
      <c r="M251" s="3">
        <v>1.0</v>
      </c>
      <c r="N251" s="3">
        <v>0.0</v>
      </c>
      <c r="O251" s="3">
        <v>0.0</v>
      </c>
      <c r="P251" s="3">
        <v>1.0</v>
      </c>
      <c r="Q251" s="3">
        <v>0.0</v>
      </c>
      <c r="R251" s="3">
        <v>0.0</v>
      </c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 t="s">
        <v>84</v>
      </c>
      <c r="B252" s="8">
        <v>45717.0</v>
      </c>
      <c r="C252" s="3">
        <v>38361.93</v>
      </c>
      <c r="D252" s="3">
        <v>6322.0</v>
      </c>
      <c r="E252" s="3">
        <v>0.273</v>
      </c>
      <c r="F252" s="3">
        <v>15.0</v>
      </c>
      <c r="G252" s="3">
        <v>88.4</v>
      </c>
      <c r="H252" s="3">
        <v>0.83</v>
      </c>
      <c r="I252" s="3">
        <v>0.0</v>
      </c>
      <c r="J252" s="3">
        <v>4.0</v>
      </c>
      <c r="K252" s="3">
        <v>647953.78</v>
      </c>
      <c r="L252" s="3">
        <v>118497.43</v>
      </c>
      <c r="M252" s="3">
        <v>1.0</v>
      </c>
      <c r="N252" s="3">
        <v>0.0</v>
      </c>
      <c r="O252" s="3">
        <v>0.0</v>
      </c>
      <c r="P252" s="3">
        <v>1.0</v>
      </c>
      <c r="Q252" s="3">
        <v>0.0</v>
      </c>
      <c r="R252" s="3">
        <v>0.0</v>
      </c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 t="s">
        <v>84</v>
      </c>
      <c r="B253" s="8">
        <v>45748.0</v>
      </c>
      <c r="C253" s="3">
        <v>97480.94</v>
      </c>
      <c r="D253" s="3">
        <v>6840.0</v>
      </c>
      <c r="E253" s="3">
        <v>0.087</v>
      </c>
      <c r="F253" s="3">
        <v>14.0</v>
      </c>
      <c r="G253" s="3">
        <v>79.2</v>
      </c>
      <c r="H253" s="3">
        <v>1.14</v>
      </c>
      <c r="I253" s="3">
        <v>0.0</v>
      </c>
      <c r="J253" s="3">
        <v>4.0</v>
      </c>
      <c r="K253" s="3">
        <v>729440.45</v>
      </c>
      <c r="L253" s="3">
        <v>87614.29</v>
      </c>
      <c r="M253" s="3">
        <v>1.0</v>
      </c>
      <c r="N253" s="3">
        <v>0.0</v>
      </c>
      <c r="O253" s="3">
        <v>0.0</v>
      </c>
      <c r="P253" s="3">
        <v>1.0</v>
      </c>
      <c r="Q253" s="3">
        <v>0.0</v>
      </c>
      <c r="R253" s="3">
        <v>0.0</v>
      </c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 t="s">
        <v>85</v>
      </c>
      <c r="B254" s="8">
        <v>45658.0</v>
      </c>
      <c r="C254" s="3">
        <v>81801.8</v>
      </c>
      <c r="D254" s="3">
        <v>6782.0</v>
      </c>
      <c r="E254" s="3">
        <v>0.05</v>
      </c>
      <c r="F254" s="3">
        <v>16.0</v>
      </c>
      <c r="G254" s="3">
        <v>99.0</v>
      </c>
      <c r="H254" s="3">
        <v>9.54</v>
      </c>
      <c r="I254" s="3">
        <v>0.0</v>
      </c>
      <c r="J254" s="3">
        <v>3.7</v>
      </c>
      <c r="K254" s="3">
        <v>764949.0</v>
      </c>
      <c r="L254" s="3">
        <v>148322.43</v>
      </c>
      <c r="M254" s="3">
        <v>0.0</v>
      </c>
      <c r="N254" s="3">
        <v>1.0</v>
      </c>
      <c r="O254" s="3">
        <v>0.0</v>
      </c>
      <c r="P254" s="3">
        <v>0.0</v>
      </c>
      <c r="Q254" s="3">
        <v>0.0</v>
      </c>
      <c r="R254" s="3">
        <v>0.0</v>
      </c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 t="s">
        <v>85</v>
      </c>
      <c r="B255" s="8">
        <v>45689.0</v>
      </c>
      <c r="C255" s="3">
        <v>63582.11</v>
      </c>
      <c r="D255" s="3">
        <v>6856.0</v>
      </c>
      <c r="E255" s="3">
        <v>0.074</v>
      </c>
      <c r="F255" s="3">
        <v>17.0</v>
      </c>
      <c r="G255" s="3">
        <v>89.5</v>
      </c>
      <c r="H255" s="3">
        <v>5.48</v>
      </c>
      <c r="I255" s="3">
        <v>0.0</v>
      </c>
      <c r="J255" s="3">
        <v>3.2</v>
      </c>
      <c r="K255" s="3">
        <v>799046.94</v>
      </c>
      <c r="L255" s="3">
        <v>144553.64</v>
      </c>
      <c r="M255" s="3">
        <v>0.0</v>
      </c>
      <c r="N255" s="3">
        <v>1.0</v>
      </c>
      <c r="O255" s="3">
        <v>0.0</v>
      </c>
      <c r="P255" s="3">
        <v>0.0</v>
      </c>
      <c r="Q255" s="3">
        <v>0.0</v>
      </c>
      <c r="R255" s="3">
        <v>0.0</v>
      </c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 t="s">
        <v>85</v>
      </c>
      <c r="B256" s="8">
        <v>45717.0</v>
      </c>
      <c r="C256" s="3">
        <v>75412.74</v>
      </c>
      <c r="D256" s="3">
        <v>5641.0</v>
      </c>
      <c r="E256" s="3">
        <v>0.059</v>
      </c>
      <c r="F256" s="3">
        <v>13.0</v>
      </c>
      <c r="G256" s="3">
        <v>87.9</v>
      </c>
      <c r="H256" s="3">
        <v>0.84</v>
      </c>
      <c r="I256" s="3">
        <v>0.0</v>
      </c>
      <c r="J256" s="3">
        <v>3.6</v>
      </c>
      <c r="K256" s="3">
        <v>720079.54</v>
      </c>
      <c r="L256" s="3">
        <v>119499.47</v>
      </c>
      <c r="M256" s="3">
        <v>0.0</v>
      </c>
      <c r="N256" s="3">
        <v>1.0</v>
      </c>
      <c r="O256" s="3">
        <v>0.0</v>
      </c>
      <c r="P256" s="3">
        <v>0.0</v>
      </c>
      <c r="Q256" s="3">
        <v>0.0</v>
      </c>
      <c r="R256" s="3">
        <v>0.0</v>
      </c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 t="s">
        <v>85</v>
      </c>
      <c r="B257" s="8">
        <v>45748.0</v>
      </c>
      <c r="C257" s="3">
        <v>36290.08</v>
      </c>
      <c r="D257" s="3">
        <v>5787.0</v>
      </c>
      <c r="E257" s="3">
        <v>0.0</v>
      </c>
      <c r="F257" s="3">
        <v>17.0</v>
      </c>
      <c r="G257" s="3">
        <v>88.3</v>
      </c>
      <c r="H257" s="3">
        <v>4.19</v>
      </c>
      <c r="I257" s="3">
        <v>0.0</v>
      </c>
      <c r="J257" s="3">
        <v>4.1</v>
      </c>
      <c r="K257" s="3">
        <v>612390.14</v>
      </c>
      <c r="L257" s="3">
        <v>108985.74</v>
      </c>
      <c r="M257" s="3">
        <v>0.0</v>
      </c>
      <c r="N257" s="3">
        <v>1.0</v>
      </c>
      <c r="O257" s="3">
        <v>0.0</v>
      </c>
      <c r="P257" s="3">
        <v>0.0</v>
      </c>
      <c r="Q257" s="3">
        <v>0.0</v>
      </c>
      <c r="R257" s="3">
        <v>0.0</v>
      </c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 t="s">
        <v>86</v>
      </c>
      <c r="B258" s="8">
        <v>45658.0</v>
      </c>
      <c r="C258" s="3">
        <v>65272.58</v>
      </c>
      <c r="D258" s="3">
        <v>8165.0</v>
      </c>
      <c r="E258" s="3">
        <v>0.051</v>
      </c>
      <c r="F258" s="3">
        <v>19.0</v>
      </c>
      <c r="G258" s="3">
        <v>87.8</v>
      </c>
      <c r="H258" s="3">
        <v>1.26</v>
      </c>
      <c r="I258" s="3">
        <v>1.0</v>
      </c>
      <c r="J258" s="3">
        <v>4.3</v>
      </c>
      <c r="K258" s="3">
        <v>840108.12</v>
      </c>
      <c r="L258" s="3">
        <v>126587.01</v>
      </c>
      <c r="M258" s="3">
        <v>0.0</v>
      </c>
      <c r="N258" s="3">
        <v>1.0</v>
      </c>
      <c r="O258" s="3">
        <v>0.0</v>
      </c>
      <c r="P258" s="3">
        <v>0.0</v>
      </c>
      <c r="Q258" s="3">
        <v>1.0</v>
      </c>
      <c r="R258" s="3">
        <v>0.0</v>
      </c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 t="s">
        <v>86</v>
      </c>
      <c r="B259" s="8">
        <v>45689.0</v>
      </c>
      <c r="C259" s="3">
        <v>28670.43</v>
      </c>
      <c r="D259" s="3">
        <v>7574.0</v>
      </c>
      <c r="E259" s="3">
        <v>0.114</v>
      </c>
      <c r="F259" s="3">
        <v>19.0</v>
      </c>
      <c r="G259" s="3">
        <v>82.7</v>
      </c>
      <c r="H259" s="3">
        <v>2.74</v>
      </c>
      <c r="I259" s="3">
        <v>0.0</v>
      </c>
      <c r="J259" s="3">
        <v>4.6</v>
      </c>
      <c r="K259" s="3">
        <v>697888.09</v>
      </c>
      <c r="L259" s="3">
        <v>116249.87</v>
      </c>
      <c r="M259" s="3">
        <v>0.0</v>
      </c>
      <c r="N259" s="3">
        <v>1.0</v>
      </c>
      <c r="O259" s="3">
        <v>0.0</v>
      </c>
      <c r="P259" s="3">
        <v>0.0</v>
      </c>
      <c r="Q259" s="3">
        <v>1.0</v>
      </c>
      <c r="R259" s="3">
        <v>0.0</v>
      </c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 t="s">
        <v>86</v>
      </c>
      <c r="B260" s="8">
        <v>45717.0</v>
      </c>
      <c r="C260" s="3">
        <v>44189.34</v>
      </c>
      <c r="D260" s="3">
        <v>8634.0</v>
      </c>
      <c r="E260" s="3">
        <v>0.143</v>
      </c>
      <c r="F260" s="3">
        <v>19.0</v>
      </c>
      <c r="G260" s="3">
        <v>87.5</v>
      </c>
      <c r="H260" s="3">
        <v>3.69</v>
      </c>
      <c r="I260" s="3">
        <v>0.0</v>
      </c>
      <c r="J260" s="3">
        <v>4.4</v>
      </c>
      <c r="K260" s="3">
        <v>746115.59</v>
      </c>
      <c r="L260" s="3">
        <v>94662.96</v>
      </c>
      <c r="M260" s="3">
        <v>0.0</v>
      </c>
      <c r="N260" s="3">
        <v>1.0</v>
      </c>
      <c r="O260" s="3">
        <v>0.0</v>
      </c>
      <c r="P260" s="3">
        <v>0.0</v>
      </c>
      <c r="Q260" s="3">
        <v>1.0</v>
      </c>
      <c r="R260" s="3">
        <v>0.0</v>
      </c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 t="s">
        <v>86</v>
      </c>
      <c r="B261" s="8">
        <v>45748.0</v>
      </c>
      <c r="C261" s="3">
        <v>38397.82</v>
      </c>
      <c r="D261" s="3">
        <v>7836.0</v>
      </c>
      <c r="E261" s="3">
        <v>0.007</v>
      </c>
      <c r="F261" s="3">
        <v>21.0</v>
      </c>
      <c r="G261" s="3">
        <v>92.2</v>
      </c>
      <c r="H261" s="3">
        <v>1.82</v>
      </c>
      <c r="I261" s="3">
        <v>0.0</v>
      </c>
      <c r="J261" s="3">
        <v>3.6</v>
      </c>
      <c r="K261" s="3">
        <v>776110.32</v>
      </c>
      <c r="L261" s="3">
        <v>139676.21</v>
      </c>
      <c r="M261" s="3">
        <v>0.0</v>
      </c>
      <c r="N261" s="3">
        <v>1.0</v>
      </c>
      <c r="O261" s="3">
        <v>0.0</v>
      </c>
      <c r="P261" s="3">
        <v>0.0</v>
      </c>
      <c r="Q261" s="3">
        <v>1.0</v>
      </c>
      <c r="R261" s="3">
        <v>0.0</v>
      </c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 t="s">
        <v>87</v>
      </c>
      <c r="B262" s="8">
        <v>45658.0</v>
      </c>
      <c r="C262" s="3">
        <v>14519.37</v>
      </c>
      <c r="D262" s="3">
        <v>3047.0</v>
      </c>
      <c r="E262" s="3">
        <v>0.135</v>
      </c>
      <c r="F262" s="3">
        <v>10.0</v>
      </c>
      <c r="G262" s="3">
        <v>90.3</v>
      </c>
      <c r="H262" s="3">
        <v>6.62</v>
      </c>
      <c r="I262" s="3">
        <v>0.0</v>
      </c>
      <c r="J262" s="3">
        <v>4.2</v>
      </c>
      <c r="K262" s="3">
        <v>528852.62</v>
      </c>
      <c r="L262" s="3">
        <v>68426.21</v>
      </c>
      <c r="M262" s="3">
        <v>0.0</v>
      </c>
      <c r="N262" s="3">
        <v>0.0</v>
      </c>
      <c r="O262" s="3">
        <v>1.0</v>
      </c>
      <c r="P262" s="3">
        <v>1.0</v>
      </c>
      <c r="Q262" s="3">
        <v>0.0</v>
      </c>
      <c r="R262" s="3">
        <v>0.0</v>
      </c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 t="s">
        <v>87</v>
      </c>
      <c r="B263" s="8">
        <v>45689.0</v>
      </c>
      <c r="C263" s="3">
        <v>43288.2</v>
      </c>
      <c r="D263" s="3">
        <v>4783.0</v>
      </c>
      <c r="E263" s="3">
        <v>0.169</v>
      </c>
      <c r="F263" s="3">
        <v>13.0</v>
      </c>
      <c r="G263" s="3">
        <v>87.3</v>
      </c>
      <c r="H263" s="3">
        <v>3.365</v>
      </c>
      <c r="I263" s="3">
        <v>0.0</v>
      </c>
      <c r="J263" s="3">
        <v>4.2</v>
      </c>
      <c r="K263" s="3">
        <v>605751.33</v>
      </c>
      <c r="L263" s="3">
        <v>60685.53</v>
      </c>
      <c r="M263" s="3">
        <v>0.0</v>
      </c>
      <c r="N263" s="3">
        <v>0.0</v>
      </c>
      <c r="O263" s="3">
        <v>1.0</v>
      </c>
      <c r="P263" s="3">
        <v>1.0</v>
      </c>
      <c r="Q263" s="3">
        <v>0.0</v>
      </c>
      <c r="R263" s="3">
        <v>0.0</v>
      </c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 t="s">
        <v>87</v>
      </c>
      <c r="B264" s="8">
        <v>45717.0</v>
      </c>
      <c r="C264" s="3">
        <v>51450.55</v>
      </c>
      <c r="D264" s="3">
        <v>4902.0</v>
      </c>
      <c r="E264" s="3">
        <v>0.086</v>
      </c>
      <c r="F264" s="3">
        <v>11.0</v>
      </c>
      <c r="G264" s="3">
        <v>83.7</v>
      </c>
      <c r="H264" s="3">
        <v>6.92</v>
      </c>
      <c r="I264" s="3">
        <v>1.0</v>
      </c>
      <c r="J264" s="3">
        <v>4.2</v>
      </c>
      <c r="K264" s="3">
        <v>677640.65</v>
      </c>
      <c r="L264" s="3">
        <v>111610.89</v>
      </c>
      <c r="M264" s="3">
        <v>0.0</v>
      </c>
      <c r="N264" s="3">
        <v>0.0</v>
      </c>
      <c r="O264" s="3">
        <v>1.0</v>
      </c>
      <c r="P264" s="3">
        <v>1.0</v>
      </c>
      <c r="Q264" s="3">
        <v>0.0</v>
      </c>
      <c r="R264" s="3">
        <v>0.0</v>
      </c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 t="s">
        <v>87</v>
      </c>
      <c r="B265" s="8">
        <v>45748.0</v>
      </c>
      <c r="C265" s="3">
        <v>58688.26</v>
      </c>
      <c r="D265" s="3">
        <v>4022.0</v>
      </c>
      <c r="E265" s="3">
        <v>0.217</v>
      </c>
      <c r="F265" s="3">
        <v>12.0</v>
      </c>
      <c r="G265" s="3">
        <v>93.8</v>
      </c>
      <c r="H265" s="3">
        <v>11.78</v>
      </c>
      <c r="I265" s="3">
        <v>0.0</v>
      </c>
      <c r="J265" s="3">
        <v>3.7</v>
      </c>
      <c r="K265" s="3">
        <v>636613.23</v>
      </c>
      <c r="L265" s="3">
        <v>78908.35</v>
      </c>
      <c r="M265" s="3">
        <v>0.0</v>
      </c>
      <c r="N265" s="3">
        <v>0.0</v>
      </c>
      <c r="O265" s="3">
        <v>1.0</v>
      </c>
      <c r="P265" s="3">
        <v>1.0</v>
      </c>
      <c r="Q265" s="3">
        <v>0.0</v>
      </c>
      <c r="R265" s="3">
        <v>0.0</v>
      </c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 t="s">
        <v>88</v>
      </c>
      <c r="B266" s="8">
        <v>45658.0</v>
      </c>
      <c r="C266" s="3">
        <v>58981.91</v>
      </c>
      <c r="D266" s="3">
        <v>7324.0</v>
      </c>
      <c r="E266" s="3">
        <v>0.094</v>
      </c>
      <c r="F266" s="3">
        <v>15.0</v>
      </c>
      <c r="G266" s="3">
        <v>95.8</v>
      </c>
      <c r="H266" s="3">
        <v>0.5</v>
      </c>
      <c r="I266" s="3">
        <v>0.0</v>
      </c>
      <c r="J266" s="3">
        <v>3.5</v>
      </c>
      <c r="K266" s="3">
        <v>708985.19</v>
      </c>
      <c r="L266" s="3">
        <v>125368.16</v>
      </c>
      <c r="M266" s="3">
        <v>0.0</v>
      </c>
      <c r="N266" s="3">
        <v>0.0</v>
      </c>
      <c r="O266" s="3">
        <v>0.0</v>
      </c>
      <c r="P266" s="3">
        <v>1.0</v>
      </c>
      <c r="Q266" s="3">
        <v>0.0</v>
      </c>
      <c r="R266" s="3">
        <v>0.0</v>
      </c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 t="s">
        <v>88</v>
      </c>
      <c r="B267" s="8">
        <v>45689.0</v>
      </c>
      <c r="C267" s="3">
        <v>73454.54</v>
      </c>
      <c r="D267" s="3">
        <v>8129.0</v>
      </c>
      <c r="E267" s="3">
        <v>0.211</v>
      </c>
      <c r="F267" s="3">
        <v>20.0</v>
      </c>
      <c r="G267" s="3">
        <v>85.2</v>
      </c>
      <c r="H267" s="3">
        <v>0.88</v>
      </c>
      <c r="I267" s="3">
        <v>0.0</v>
      </c>
      <c r="J267" s="3">
        <v>3.7</v>
      </c>
      <c r="K267" s="3">
        <v>767792.94</v>
      </c>
      <c r="L267" s="3">
        <v>96235.77</v>
      </c>
      <c r="M267" s="3">
        <v>0.0</v>
      </c>
      <c r="N267" s="3">
        <v>0.0</v>
      </c>
      <c r="O267" s="3">
        <v>0.0</v>
      </c>
      <c r="P267" s="3">
        <v>1.0</v>
      </c>
      <c r="Q267" s="3">
        <v>0.0</v>
      </c>
      <c r="R267" s="3">
        <v>0.0</v>
      </c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 t="s">
        <v>88</v>
      </c>
      <c r="B268" s="8">
        <v>45717.0</v>
      </c>
      <c r="C268" s="3">
        <v>56602.39</v>
      </c>
      <c r="D268" s="3">
        <v>7969.0</v>
      </c>
      <c r="E268" s="3">
        <v>0.17</v>
      </c>
      <c r="F268" s="3">
        <v>21.0</v>
      </c>
      <c r="G268" s="3">
        <v>88.3</v>
      </c>
      <c r="H268" s="3">
        <v>2.25</v>
      </c>
      <c r="I268" s="3">
        <v>0.0</v>
      </c>
      <c r="J268" s="3">
        <v>3.7</v>
      </c>
      <c r="K268" s="3">
        <v>745580.51</v>
      </c>
      <c r="L268" s="3">
        <v>116273.68</v>
      </c>
      <c r="M268" s="3">
        <v>0.0</v>
      </c>
      <c r="N268" s="3">
        <v>0.0</v>
      </c>
      <c r="O268" s="3">
        <v>0.0</v>
      </c>
      <c r="P268" s="3">
        <v>1.0</v>
      </c>
      <c r="Q268" s="3">
        <v>0.0</v>
      </c>
      <c r="R268" s="3">
        <v>0.0</v>
      </c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 t="s">
        <v>88</v>
      </c>
      <c r="B269" s="8">
        <v>45748.0</v>
      </c>
      <c r="C269" s="3">
        <v>67722.29</v>
      </c>
      <c r="D269" s="3">
        <v>7240.0</v>
      </c>
      <c r="E269" s="3">
        <v>0.026</v>
      </c>
      <c r="F269" s="3">
        <v>15.0</v>
      </c>
      <c r="G269" s="3">
        <v>92.9</v>
      </c>
      <c r="H269" s="3">
        <v>0.29</v>
      </c>
      <c r="I269" s="3">
        <v>0.0</v>
      </c>
      <c r="J269" s="3">
        <v>3.5</v>
      </c>
      <c r="K269" s="3">
        <v>762328.31</v>
      </c>
      <c r="L269" s="3">
        <v>159158.19</v>
      </c>
      <c r="M269" s="3">
        <v>0.0</v>
      </c>
      <c r="N269" s="3">
        <v>0.0</v>
      </c>
      <c r="O269" s="3">
        <v>0.0</v>
      </c>
      <c r="P269" s="3">
        <v>1.0</v>
      </c>
      <c r="Q269" s="3">
        <v>0.0</v>
      </c>
      <c r="R269" s="3">
        <v>0.0</v>
      </c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 t="s">
        <v>89</v>
      </c>
      <c r="B270" s="8">
        <v>45658.0</v>
      </c>
      <c r="C270" s="3">
        <v>48752.92</v>
      </c>
      <c r="D270" s="3">
        <v>8052.0</v>
      </c>
      <c r="E270" s="3">
        <v>0.106</v>
      </c>
      <c r="F270" s="3">
        <v>16.0</v>
      </c>
      <c r="G270" s="3">
        <v>94.9</v>
      </c>
      <c r="H270" s="3">
        <v>0.65</v>
      </c>
      <c r="I270" s="3">
        <v>0.0</v>
      </c>
      <c r="J270" s="3">
        <v>3.6</v>
      </c>
      <c r="K270" s="3">
        <v>660633.99</v>
      </c>
      <c r="L270" s="3">
        <v>118768.66</v>
      </c>
      <c r="M270" s="3">
        <v>0.0</v>
      </c>
      <c r="N270" s="3">
        <v>0.0</v>
      </c>
      <c r="O270" s="3">
        <v>0.0</v>
      </c>
      <c r="P270" s="3">
        <v>0.0</v>
      </c>
      <c r="Q270" s="3">
        <v>1.0</v>
      </c>
      <c r="R270" s="3">
        <v>0.0</v>
      </c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 t="s">
        <v>89</v>
      </c>
      <c r="B271" s="8">
        <v>45689.0</v>
      </c>
      <c r="C271" s="3">
        <v>23914.97</v>
      </c>
      <c r="D271" s="3">
        <v>8018.0</v>
      </c>
      <c r="E271" s="3">
        <v>0.139</v>
      </c>
      <c r="F271" s="3">
        <v>20.0</v>
      </c>
      <c r="G271" s="3">
        <v>89.0</v>
      </c>
      <c r="H271" s="3">
        <v>0.2</v>
      </c>
      <c r="I271" s="3">
        <v>0.0</v>
      </c>
      <c r="J271" s="3">
        <v>3.5</v>
      </c>
      <c r="K271" s="3">
        <v>739374.56</v>
      </c>
      <c r="L271" s="3">
        <v>121032.29</v>
      </c>
      <c r="M271" s="3">
        <v>0.0</v>
      </c>
      <c r="N271" s="3">
        <v>0.0</v>
      </c>
      <c r="O271" s="3">
        <v>0.0</v>
      </c>
      <c r="P271" s="3">
        <v>0.0</v>
      </c>
      <c r="Q271" s="3">
        <v>1.0</v>
      </c>
      <c r="R271" s="3">
        <v>0.0</v>
      </c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 t="s">
        <v>89</v>
      </c>
      <c r="B272" s="8">
        <v>45717.0</v>
      </c>
      <c r="C272" s="3">
        <v>61995.3</v>
      </c>
      <c r="D272" s="3">
        <v>10192.0</v>
      </c>
      <c r="E272" s="3">
        <v>0.198</v>
      </c>
      <c r="F272" s="3">
        <v>21.0</v>
      </c>
      <c r="G272" s="3">
        <v>87.6</v>
      </c>
      <c r="H272" s="3">
        <v>3.63</v>
      </c>
      <c r="I272" s="3">
        <v>1.0</v>
      </c>
      <c r="J272" s="3">
        <v>3.8</v>
      </c>
      <c r="K272" s="3">
        <v>799756.46</v>
      </c>
      <c r="L272" s="3">
        <v>105052.93</v>
      </c>
      <c r="M272" s="3">
        <v>0.0</v>
      </c>
      <c r="N272" s="3">
        <v>0.0</v>
      </c>
      <c r="O272" s="3">
        <v>0.0</v>
      </c>
      <c r="P272" s="3">
        <v>0.0</v>
      </c>
      <c r="Q272" s="3">
        <v>1.0</v>
      </c>
      <c r="R272" s="3">
        <v>0.0</v>
      </c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 t="s">
        <v>89</v>
      </c>
      <c r="B273" s="8">
        <v>45748.0</v>
      </c>
      <c r="C273" s="3">
        <v>29344.93</v>
      </c>
      <c r="D273" s="3">
        <v>7446.0</v>
      </c>
      <c r="E273" s="3">
        <v>0.111</v>
      </c>
      <c r="F273" s="3">
        <v>15.0</v>
      </c>
      <c r="G273" s="3">
        <v>86.2</v>
      </c>
      <c r="H273" s="3">
        <v>0.2</v>
      </c>
      <c r="I273" s="3">
        <v>0.0</v>
      </c>
      <c r="J273" s="3">
        <v>3.2</v>
      </c>
      <c r="K273" s="3">
        <v>593343.0</v>
      </c>
      <c r="L273" s="3">
        <v>82832.24</v>
      </c>
      <c r="M273" s="3">
        <v>0.0</v>
      </c>
      <c r="N273" s="3">
        <v>0.0</v>
      </c>
      <c r="O273" s="3">
        <v>0.0</v>
      </c>
      <c r="P273" s="3">
        <v>0.0</v>
      </c>
      <c r="Q273" s="3">
        <v>1.0</v>
      </c>
      <c r="R273" s="3">
        <v>0.0</v>
      </c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 t="s">
        <v>90</v>
      </c>
      <c r="B274" s="8">
        <v>45658.0</v>
      </c>
      <c r="C274" s="3">
        <v>50532.17</v>
      </c>
      <c r="D274" s="3">
        <v>5689.0</v>
      </c>
      <c r="E274" s="3">
        <v>0.052</v>
      </c>
      <c r="F274" s="3">
        <v>17.0</v>
      </c>
      <c r="G274" s="3">
        <v>85.6</v>
      </c>
      <c r="H274" s="3">
        <v>6.23</v>
      </c>
      <c r="I274" s="3">
        <v>0.0</v>
      </c>
      <c r="J274" s="3">
        <v>3.3</v>
      </c>
      <c r="K274" s="3">
        <v>645039.97</v>
      </c>
      <c r="L274" s="3">
        <v>83093.33</v>
      </c>
      <c r="M274" s="3">
        <v>0.0</v>
      </c>
      <c r="N274" s="3">
        <v>0.0</v>
      </c>
      <c r="O274" s="3">
        <v>1.0</v>
      </c>
      <c r="P274" s="3">
        <v>1.0</v>
      </c>
      <c r="Q274" s="3">
        <v>0.0</v>
      </c>
      <c r="R274" s="3">
        <v>0.0</v>
      </c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 t="s">
        <v>90</v>
      </c>
      <c r="B275" s="8">
        <v>45689.0</v>
      </c>
      <c r="C275" s="3">
        <v>17562.57</v>
      </c>
      <c r="D275" s="3">
        <v>3326.0</v>
      </c>
      <c r="E275" s="3">
        <v>0.153</v>
      </c>
      <c r="F275" s="3">
        <v>14.0</v>
      </c>
      <c r="G275" s="3">
        <v>88.1</v>
      </c>
      <c r="H275" s="3">
        <v>1.04</v>
      </c>
      <c r="I275" s="3">
        <v>0.0</v>
      </c>
      <c r="J275" s="3">
        <v>3.1</v>
      </c>
      <c r="K275" s="3">
        <v>561597.33</v>
      </c>
      <c r="L275" s="3">
        <v>75072.75</v>
      </c>
      <c r="M275" s="3">
        <v>0.0</v>
      </c>
      <c r="N275" s="3">
        <v>0.0</v>
      </c>
      <c r="O275" s="3">
        <v>1.0</v>
      </c>
      <c r="P275" s="3">
        <v>1.0</v>
      </c>
      <c r="Q275" s="3">
        <v>0.0</v>
      </c>
      <c r="R275" s="3">
        <v>0.0</v>
      </c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 t="s">
        <v>90</v>
      </c>
      <c r="B276" s="8">
        <v>45717.0</v>
      </c>
      <c r="C276" s="3">
        <v>47648.71</v>
      </c>
      <c r="D276" s="3">
        <v>5767.0</v>
      </c>
      <c r="E276" s="3">
        <v>0.141</v>
      </c>
      <c r="F276" s="3">
        <v>17.0</v>
      </c>
      <c r="G276" s="3">
        <v>89.8</v>
      </c>
      <c r="H276" s="3">
        <v>1.76</v>
      </c>
      <c r="I276" s="3">
        <v>0.0</v>
      </c>
      <c r="J276" s="3">
        <v>3.1</v>
      </c>
      <c r="K276" s="3">
        <v>635837.74</v>
      </c>
      <c r="L276" s="3">
        <v>114740.64</v>
      </c>
      <c r="M276" s="3">
        <v>0.0</v>
      </c>
      <c r="N276" s="3">
        <v>0.0</v>
      </c>
      <c r="O276" s="3">
        <v>1.0</v>
      </c>
      <c r="P276" s="3">
        <v>1.0</v>
      </c>
      <c r="Q276" s="3">
        <v>0.0</v>
      </c>
      <c r="R276" s="3">
        <v>0.0</v>
      </c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 t="s">
        <v>90</v>
      </c>
      <c r="B277" s="8">
        <v>45748.0</v>
      </c>
      <c r="C277" s="3">
        <v>38297.58</v>
      </c>
      <c r="D277" s="3">
        <v>5893.0</v>
      </c>
      <c r="E277" s="3">
        <v>0.247</v>
      </c>
      <c r="F277" s="3">
        <v>18.0</v>
      </c>
      <c r="G277" s="3">
        <v>77.6</v>
      </c>
      <c r="H277" s="3">
        <v>2.86</v>
      </c>
      <c r="I277" s="3">
        <v>0.0</v>
      </c>
      <c r="J277" s="3">
        <v>3.0</v>
      </c>
      <c r="K277" s="3">
        <v>686737.87</v>
      </c>
      <c r="L277" s="3">
        <v>83839.67</v>
      </c>
      <c r="M277" s="3">
        <v>0.0</v>
      </c>
      <c r="N277" s="3">
        <v>0.0</v>
      </c>
      <c r="O277" s="3">
        <v>1.0</v>
      </c>
      <c r="P277" s="3">
        <v>1.0</v>
      </c>
      <c r="Q277" s="3">
        <v>0.0</v>
      </c>
      <c r="R277" s="3">
        <v>0.0</v>
      </c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 t="s">
        <v>91</v>
      </c>
      <c r="B278" s="8">
        <v>45658.0</v>
      </c>
      <c r="C278" s="3">
        <v>61784.11</v>
      </c>
      <c r="D278" s="3">
        <v>8564.0</v>
      </c>
      <c r="E278" s="3">
        <v>0.13</v>
      </c>
      <c r="F278" s="3">
        <v>17.0</v>
      </c>
      <c r="G278" s="3">
        <v>87.4</v>
      </c>
      <c r="H278" s="3">
        <v>18.14</v>
      </c>
      <c r="I278" s="3">
        <v>1.0</v>
      </c>
      <c r="J278" s="3">
        <v>3.4</v>
      </c>
      <c r="K278" s="3">
        <v>673076.34</v>
      </c>
      <c r="L278" s="3">
        <v>93899.76</v>
      </c>
      <c r="M278" s="3">
        <v>0.0</v>
      </c>
      <c r="N278" s="3">
        <v>1.0</v>
      </c>
      <c r="O278" s="3">
        <v>0.0</v>
      </c>
      <c r="P278" s="3">
        <v>0.0</v>
      </c>
      <c r="Q278" s="3">
        <v>0.0</v>
      </c>
      <c r="R278" s="3">
        <v>1.0</v>
      </c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 t="s">
        <v>91</v>
      </c>
      <c r="B279" s="8">
        <v>45689.0</v>
      </c>
      <c r="C279" s="3">
        <v>36832.33</v>
      </c>
      <c r="D279" s="3">
        <v>8001.0</v>
      </c>
      <c r="E279" s="3">
        <v>0.0</v>
      </c>
      <c r="F279" s="3">
        <v>19.0</v>
      </c>
      <c r="G279" s="3">
        <v>88.7</v>
      </c>
      <c r="H279" s="3">
        <v>3.39</v>
      </c>
      <c r="I279" s="3">
        <v>0.0</v>
      </c>
      <c r="J279" s="3">
        <v>4.0</v>
      </c>
      <c r="K279" s="3">
        <v>738548.42</v>
      </c>
      <c r="L279" s="3">
        <v>134282.77</v>
      </c>
      <c r="M279" s="3">
        <v>0.0</v>
      </c>
      <c r="N279" s="3">
        <v>1.0</v>
      </c>
      <c r="O279" s="3">
        <v>0.0</v>
      </c>
      <c r="P279" s="3">
        <v>0.0</v>
      </c>
      <c r="Q279" s="3">
        <v>0.0</v>
      </c>
      <c r="R279" s="3">
        <v>1.0</v>
      </c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 t="s">
        <v>91</v>
      </c>
      <c r="B280" s="8">
        <v>45717.0</v>
      </c>
      <c r="C280" s="3">
        <v>48609.41</v>
      </c>
      <c r="D280" s="3">
        <v>9324.0</v>
      </c>
      <c r="E280" s="3">
        <v>0.213</v>
      </c>
      <c r="F280" s="3">
        <v>18.0</v>
      </c>
      <c r="G280" s="3">
        <v>86.5</v>
      </c>
      <c r="H280" s="3">
        <v>1.44</v>
      </c>
      <c r="I280" s="3">
        <v>0.0</v>
      </c>
      <c r="J280" s="3">
        <v>3.9</v>
      </c>
      <c r="K280" s="3">
        <v>756619.77</v>
      </c>
      <c r="L280" s="3">
        <v>112057.69</v>
      </c>
      <c r="M280" s="3">
        <v>0.0</v>
      </c>
      <c r="N280" s="3">
        <v>1.0</v>
      </c>
      <c r="O280" s="3">
        <v>0.0</v>
      </c>
      <c r="P280" s="3">
        <v>0.0</v>
      </c>
      <c r="Q280" s="3">
        <v>0.0</v>
      </c>
      <c r="R280" s="3">
        <v>1.0</v>
      </c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 t="s">
        <v>91</v>
      </c>
      <c r="B281" s="8">
        <v>45748.0</v>
      </c>
      <c r="C281" s="3">
        <v>70284.06</v>
      </c>
      <c r="D281" s="3">
        <v>9109.0</v>
      </c>
      <c r="E281" s="3">
        <v>0.004</v>
      </c>
      <c r="F281" s="3">
        <v>23.0</v>
      </c>
      <c r="G281" s="3">
        <v>87.0</v>
      </c>
      <c r="H281" s="3">
        <v>3.65</v>
      </c>
      <c r="I281" s="3">
        <v>0.0</v>
      </c>
      <c r="J281" s="3">
        <v>3.7</v>
      </c>
      <c r="K281" s="3">
        <v>761122.42</v>
      </c>
      <c r="L281" s="3">
        <v>149802.04</v>
      </c>
      <c r="M281" s="3">
        <v>0.0</v>
      </c>
      <c r="N281" s="3">
        <v>1.0</v>
      </c>
      <c r="O281" s="3">
        <v>0.0</v>
      </c>
      <c r="P281" s="3">
        <v>0.0</v>
      </c>
      <c r="Q281" s="3">
        <v>0.0</v>
      </c>
      <c r="R281" s="3">
        <v>1.0</v>
      </c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 t="s">
        <v>92</v>
      </c>
      <c r="B282" s="8">
        <v>45658.0</v>
      </c>
      <c r="C282" s="3">
        <v>45940.39</v>
      </c>
      <c r="D282" s="3">
        <v>4022.0</v>
      </c>
      <c r="E282" s="3">
        <v>0.069</v>
      </c>
      <c r="F282" s="3">
        <v>10.0</v>
      </c>
      <c r="G282" s="3">
        <v>83.0</v>
      </c>
      <c r="H282" s="3">
        <v>1.23</v>
      </c>
      <c r="I282" s="3">
        <v>1.0</v>
      </c>
      <c r="J282" s="3">
        <v>3.8</v>
      </c>
      <c r="K282" s="3">
        <v>524899.57</v>
      </c>
      <c r="L282" s="3">
        <v>63619.98</v>
      </c>
      <c r="M282" s="3">
        <v>0.0</v>
      </c>
      <c r="N282" s="3">
        <v>1.0</v>
      </c>
      <c r="O282" s="3">
        <v>0.0</v>
      </c>
      <c r="P282" s="3">
        <v>1.0</v>
      </c>
      <c r="Q282" s="3">
        <v>0.0</v>
      </c>
      <c r="R282" s="3">
        <v>0.0</v>
      </c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 t="s">
        <v>92</v>
      </c>
      <c r="B283" s="8">
        <v>45689.0</v>
      </c>
      <c r="C283" s="3">
        <v>34771.26</v>
      </c>
      <c r="D283" s="3">
        <v>4355.0</v>
      </c>
      <c r="E283" s="3">
        <v>0.051</v>
      </c>
      <c r="F283" s="3">
        <v>15.0</v>
      </c>
      <c r="G283" s="3">
        <v>87.9</v>
      </c>
      <c r="H283" s="3">
        <v>3.09</v>
      </c>
      <c r="I283" s="3">
        <v>0.0</v>
      </c>
      <c r="J283" s="3">
        <v>4.0</v>
      </c>
      <c r="K283" s="3">
        <v>555557.77</v>
      </c>
      <c r="L283" s="3">
        <v>86475.51</v>
      </c>
      <c r="M283" s="3">
        <v>0.0</v>
      </c>
      <c r="N283" s="3">
        <v>1.0</v>
      </c>
      <c r="O283" s="3">
        <v>0.0</v>
      </c>
      <c r="P283" s="3">
        <v>1.0</v>
      </c>
      <c r="Q283" s="3">
        <v>0.0</v>
      </c>
      <c r="R283" s="3">
        <v>0.0</v>
      </c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 t="s">
        <v>92</v>
      </c>
      <c r="B284" s="8">
        <v>45717.0</v>
      </c>
      <c r="C284" s="3">
        <v>66104.19</v>
      </c>
      <c r="D284" s="3">
        <v>5745.0</v>
      </c>
      <c r="E284" s="3">
        <v>0.07</v>
      </c>
      <c r="F284" s="3">
        <v>17.0</v>
      </c>
      <c r="G284" s="3">
        <v>95.8</v>
      </c>
      <c r="H284" s="3">
        <v>3.15</v>
      </c>
      <c r="I284" s="3">
        <v>0.0</v>
      </c>
      <c r="J284" s="3">
        <v>4.0</v>
      </c>
      <c r="K284" s="3">
        <v>714083.68</v>
      </c>
      <c r="L284" s="3">
        <v>127231.74</v>
      </c>
      <c r="M284" s="3">
        <v>0.0</v>
      </c>
      <c r="N284" s="3">
        <v>1.0</v>
      </c>
      <c r="O284" s="3">
        <v>0.0</v>
      </c>
      <c r="P284" s="3">
        <v>1.0</v>
      </c>
      <c r="Q284" s="3">
        <v>0.0</v>
      </c>
      <c r="R284" s="3">
        <v>0.0</v>
      </c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 t="s">
        <v>92</v>
      </c>
      <c r="B285" s="8">
        <v>45748.0</v>
      </c>
      <c r="C285" s="3">
        <v>18599.21</v>
      </c>
      <c r="D285" s="3">
        <v>3027.0</v>
      </c>
      <c r="E285" s="3">
        <v>0.122</v>
      </c>
      <c r="F285" s="3">
        <v>11.0</v>
      </c>
      <c r="G285" s="3">
        <v>80.9</v>
      </c>
      <c r="H285" s="3">
        <v>6.44</v>
      </c>
      <c r="I285" s="3">
        <v>0.0</v>
      </c>
      <c r="J285" s="3">
        <v>4.2</v>
      </c>
      <c r="K285" s="3">
        <v>497439.82</v>
      </c>
      <c r="L285" s="3">
        <v>93372.75</v>
      </c>
      <c r="M285" s="3">
        <v>0.0</v>
      </c>
      <c r="N285" s="3">
        <v>1.0</v>
      </c>
      <c r="O285" s="3">
        <v>0.0</v>
      </c>
      <c r="P285" s="3">
        <v>1.0</v>
      </c>
      <c r="Q285" s="3">
        <v>0.0</v>
      </c>
      <c r="R285" s="3">
        <v>0.0</v>
      </c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 t="s">
        <v>93</v>
      </c>
      <c r="B286" s="8">
        <v>45658.0</v>
      </c>
      <c r="C286" s="3">
        <v>60183.06</v>
      </c>
      <c r="D286" s="3">
        <v>5562.0</v>
      </c>
      <c r="E286" s="3">
        <v>0.009</v>
      </c>
      <c r="F286" s="3">
        <v>13.0</v>
      </c>
      <c r="G286" s="3">
        <v>86.3</v>
      </c>
      <c r="H286" s="3">
        <v>0.2</v>
      </c>
      <c r="I286" s="3">
        <v>1.0</v>
      </c>
      <c r="J286" s="3">
        <v>4.5</v>
      </c>
      <c r="K286" s="3">
        <v>636775.66</v>
      </c>
      <c r="L286" s="3">
        <v>122636.86</v>
      </c>
      <c r="M286" s="3">
        <v>0.0</v>
      </c>
      <c r="N286" s="3">
        <v>0.0</v>
      </c>
      <c r="O286" s="3">
        <v>1.0</v>
      </c>
      <c r="P286" s="3">
        <v>0.0</v>
      </c>
      <c r="Q286" s="3">
        <v>0.0</v>
      </c>
      <c r="R286" s="3">
        <v>1.0</v>
      </c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 t="s">
        <v>93</v>
      </c>
      <c r="B287" s="8">
        <v>45689.0</v>
      </c>
      <c r="C287" s="3">
        <v>74539.14</v>
      </c>
      <c r="D287" s="3">
        <v>4487.0</v>
      </c>
      <c r="E287" s="3">
        <v>0.14</v>
      </c>
      <c r="F287" s="3">
        <v>10.0</v>
      </c>
      <c r="G287" s="3">
        <v>90.4</v>
      </c>
      <c r="H287" s="3">
        <v>0.59</v>
      </c>
      <c r="I287" s="3">
        <v>0.0</v>
      </c>
      <c r="J287" s="3">
        <v>4.5</v>
      </c>
      <c r="K287" s="3">
        <v>633009.53</v>
      </c>
      <c r="L287" s="3">
        <v>123782.67</v>
      </c>
      <c r="M287" s="3">
        <v>0.0</v>
      </c>
      <c r="N287" s="3">
        <v>0.0</v>
      </c>
      <c r="O287" s="3">
        <v>1.0</v>
      </c>
      <c r="P287" s="3">
        <v>0.0</v>
      </c>
      <c r="Q287" s="3">
        <v>0.0</v>
      </c>
      <c r="R287" s="3">
        <v>1.0</v>
      </c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 t="s">
        <v>93</v>
      </c>
      <c r="B288" s="8">
        <v>45717.0</v>
      </c>
      <c r="C288" s="3">
        <v>55371.97</v>
      </c>
      <c r="D288" s="3">
        <v>4162.0</v>
      </c>
      <c r="E288" s="3">
        <v>0.183</v>
      </c>
      <c r="F288" s="3">
        <v>11.0</v>
      </c>
      <c r="G288" s="3">
        <v>92.0</v>
      </c>
      <c r="H288" s="3">
        <v>0.2</v>
      </c>
      <c r="I288" s="3">
        <v>1.0</v>
      </c>
      <c r="J288" s="3">
        <v>4.2</v>
      </c>
      <c r="K288" s="3">
        <v>609949.0</v>
      </c>
      <c r="L288" s="3">
        <v>126789.25</v>
      </c>
      <c r="M288" s="3">
        <v>0.0</v>
      </c>
      <c r="N288" s="3">
        <v>0.0</v>
      </c>
      <c r="O288" s="3">
        <v>1.0</v>
      </c>
      <c r="P288" s="3">
        <v>0.0</v>
      </c>
      <c r="Q288" s="3">
        <v>0.0</v>
      </c>
      <c r="R288" s="3">
        <v>1.0</v>
      </c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 t="s">
        <v>93</v>
      </c>
      <c r="B289" s="8">
        <v>45748.0</v>
      </c>
      <c r="C289" s="3">
        <v>40928.69</v>
      </c>
      <c r="D289" s="3">
        <v>4094.0</v>
      </c>
      <c r="E289" s="3">
        <v>0.174</v>
      </c>
      <c r="F289" s="3">
        <v>13.0</v>
      </c>
      <c r="G289" s="3">
        <v>82.4</v>
      </c>
      <c r="H289" s="3">
        <v>1.36</v>
      </c>
      <c r="I289" s="3">
        <v>0.0</v>
      </c>
      <c r="J289" s="3">
        <v>4.8</v>
      </c>
      <c r="K289" s="3">
        <v>548103.7</v>
      </c>
      <c r="L289" s="3">
        <v>99905.52</v>
      </c>
      <c r="M289" s="3">
        <v>0.0</v>
      </c>
      <c r="N289" s="3">
        <v>0.0</v>
      </c>
      <c r="O289" s="3">
        <v>1.0</v>
      </c>
      <c r="P289" s="3">
        <v>0.0</v>
      </c>
      <c r="Q289" s="3">
        <v>0.0</v>
      </c>
      <c r="R289" s="3">
        <v>1.0</v>
      </c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 t="s">
        <v>94</v>
      </c>
      <c r="B290" s="8">
        <v>45658.0</v>
      </c>
      <c r="C290" s="3">
        <v>70012.41</v>
      </c>
      <c r="D290" s="3">
        <v>8484.0</v>
      </c>
      <c r="E290" s="3">
        <v>0.273</v>
      </c>
      <c r="F290" s="3">
        <v>23.0</v>
      </c>
      <c r="G290" s="3">
        <v>72.9</v>
      </c>
      <c r="H290" s="3">
        <v>3.34</v>
      </c>
      <c r="I290" s="3">
        <v>0.0</v>
      </c>
      <c r="J290" s="3">
        <v>3.7</v>
      </c>
      <c r="K290" s="3">
        <v>729424.42</v>
      </c>
      <c r="L290" s="3">
        <v>75592.28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1.0</v>
      </c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 t="s">
        <v>94</v>
      </c>
      <c r="B291" s="8">
        <v>45689.0</v>
      </c>
      <c r="C291" s="3">
        <v>68909.26</v>
      </c>
      <c r="D291" s="3">
        <v>7794.0</v>
      </c>
      <c r="E291" s="3">
        <v>0.284</v>
      </c>
      <c r="F291" s="3">
        <v>22.0</v>
      </c>
      <c r="G291" s="3">
        <v>89.0</v>
      </c>
      <c r="H291" s="3">
        <v>0.33</v>
      </c>
      <c r="I291" s="3">
        <v>0.0</v>
      </c>
      <c r="J291" s="3">
        <v>4.0</v>
      </c>
      <c r="K291" s="3">
        <v>696261.49</v>
      </c>
      <c r="L291" s="3">
        <v>72455.35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1.0</v>
      </c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 t="s">
        <v>94</v>
      </c>
      <c r="B292" s="8">
        <v>45717.0</v>
      </c>
      <c r="C292" s="3">
        <v>56737.3</v>
      </c>
      <c r="D292" s="3">
        <v>8300.0</v>
      </c>
      <c r="E292" s="3">
        <v>0.032</v>
      </c>
      <c r="F292" s="3">
        <v>21.0</v>
      </c>
      <c r="G292" s="3">
        <v>83.2</v>
      </c>
      <c r="H292" s="3">
        <v>3.44</v>
      </c>
      <c r="I292" s="3">
        <v>1.0</v>
      </c>
      <c r="J292" s="3">
        <v>4.3</v>
      </c>
      <c r="K292" s="3">
        <v>813316.71</v>
      </c>
      <c r="L292" s="3">
        <v>110077.42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1.0</v>
      </c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 t="s">
        <v>94</v>
      </c>
      <c r="B293" s="8">
        <v>45748.0</v>
      </c>
      <c r="C293" s="3">
        <v>54080.91</v>
      </c>
      <c r="D293" s="3">
        <v>7083.0</v>
      </c>
      <c r="E293" s="3">
        <v>0.0</v>
      </c>
      <c r="F293" s="3">
        <v>15.0</v>
      </c>
      <c r="G293" s="3">
        <v>97.0</v>
      </c>
      <c r="H293" s="3">
        <v>5.33</v>
      </c>
      <c r="I293" s="3">
        <v>0.0</v>
      </c>
      <c r="J293" s="3">
        <v>4.1</v>
      </c>
      <c r="K293" s="3">
        <v>702068.92</v>
      </c>
      <c r="L293" s="3">
        <v>111266.63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1.0</v>
      </c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 t="s">
        <v>95</v>
      </c>
      <c r="B294" s="8">
        <v>45658.0</v>
      </c>
      <c r="C294" s="3">
        <v>51996.32</v>
      </c>
      <c r="D294" s="3">
        <v>3834.0</v>
      </c>
      <c r="E294" s="3">
        <v>0.096</v>
      </c>
      <c r="F294" s="3">
        <v>8.0</v>
      </c>
      <c r="G294" s="3">
        <v>86.7</v>
      </c>
      <c r="H294" s="3">
        <v>6.04</v>
      </c>
      <c r="I294" s="3">
        <v>0.0</v>
      </c>
      <c r="J294" s="3">
        <v>4.5</v>
      </c>
      <c r="K294" s="3">
        <v>546223.7</v>
      </c>
      <c r="L294" s="3">
        <v>100769.17</v>
      </c>
      <c r="M294" s="3">
        <v>0.0</v>
      </c>
      <c r="N294" s="3">
        <v>0.0</v>
      </c>
      <c r="O294" s="3">
        <v>1.0</v>
      </c>
      <c r="P294" s="3">
        <v>1.0</v>
      </c>
      <c r="Q294" s="3">
        <v>0.0</v>
      </c>
      <c r="R294" s="3">
        <v>0.0</v>
      </c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 t="s">
        <v>95</v>
      </c>
      <c r="B295" s="8">
        <v>45689.0</v>
      </c>
      <c r="C295" s="3">
        <v>40102.88</v>
      </c>
      <c r="D295" s="3">
        <v>2358.0</v>
      </c>
      <c r="E295" s="3">
        <v>0.119</v>
      </c>
      <c r="F295" s="3">
        <v>9.0</v>
      </c>
      <c r="G295" s="3">
        <v>88.7</v>
      </c>
      <c r="H295" s="3">
        <v>1.6</v>
      </c>
      <c r="I295" s="3">
        <v>0.0</v>
      </c>
      <c r="J295" s="3">
        <v>4.2</v>
      </c>
      <c r="K295" s="3">
        <v>533121.26</v>
      </c>
      <c r="L295" s="3">
        <v>55063.39</v>
      </c>
      <c r="M295" s="3">
        <v>0.0</v>
      </c>
      <c r="N295" s="3">
        <v>0.0</v>
      </c>
      <c r="O295" s="3">
        <v>1.0</v>
      </c>
      <c r="P295" s="3">
        <v>1.0</v>
      </c>
      <c r="Q295" s="3">
        <v>0.0</v>
      </c>
      <c r="R295" s="3">
        <v>0.0</v>
      </c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 t="s">
        <v>95</v>
      </c>
      <c r="B296" s="8">
        <v>45717.0</v>
      </c>
      <c r="C296" s="3">
        <v>59825.51</v>
      </c>
      <c r="D296" s="3">
        <v>1231.0</v>
      </c>
      <c r="E296" s="3">
        <v>0.214</v>
      </c>
      <c r="F296" s="3">
        <v>10.0</v>
      </c>
      <c r="G296" s="3">
        <v>84.8</v>
      </c>
      <c r="H296" s="3">
        <v>8.96</v>
      </c>
      <c r="I296" s="3">
        <v>0.0</v>
      </c>
      <c r="J296" s="3">
        <v>4.7</v>
      </c>
      <c r="K296" s="3">
        <v>498970.32</v>
      </c>
      <c r="L296" s="3">
        <v>69656.7</v>
      </c>
      <c r="M296" s="3">
        <v>0.0</v>
      </c>
      <c r="N296" s="3">
        <v>0.0</v>
      </c>
      <c r="O296" s="3">
        <v>1.0</v>
      </c>
      <c r="P296" s="3">
        <v>1.0</v>
      </c>
      <c r="Q296" s="3">
        <v>0.0</v>
      </c>
      <c r="R296" s="3">
        <v>0.0</v>
      </c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 t="s">
        <v>95</v>
      </c>
      <c r="B297" s="8">
        <v>45748.0</v>
      </c>
      <c r="C297" s="3">
        <v>27398.28</v>
      </c>
      <c r="D297" s="3">
        <v>1723.0</v>
      </c>
      <c r="E297" s="3">
        <v>0.171</v>
      </c>
      <c r="F297" s="3">
        <v>9.0</v>
      </c>
      <c r="G297" s="3">
        <v>81.0</v>
      </c>
      <c r="H297" s="3">
        <v>0.74</v>
      </c>
      <c r="I297" s="3">
        <v>0.0</v>
      </c>
      <c r="J297" s="3">
        <v>4.6</v>
      </c>
      <c r="K297" s="3">
        <v>487738.26</v>
      </c>
      <c r="L297" s="3">
        <v>96435.6</v>
      </c>
      <c r="M297" s="3">
        <v>0.0</v>
      </c>
      <c r="N297" s="3">
        <v>0.0</v>
      </c>
      <c r="O297" s="3">
        <v>1.0</v>
      </c>
      <c r="P297" s="3">
        <v>1.0</v>
      </c>
      <c r="Q297" s="3">
        <v>0.0</v>
      </c>
      <c r="R297" s="3">
        <v>0.0</v>
      </c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 t="s">
        <v>96</v>
      </c>
      <c r="B298" s="8">
        <v>45658.0</v>
      </c>
      <c r="C298" s="3">
        <v>55599.56</v>
      </c>
      <c r="D298" s="3">
        <v>5896.0</v>
      </c>
      <c r="E298" s="3">
        <v>0.036</v>
      </c>
      <c r="F298" s="3">
        <v>12.0</v>
      </c>
      <c r="G298" s="3">
        <v>93.1</v>
      </c>
      <c r="H298" s="3">
        <v>6.13</v>
      </c>
      <c r="I298" s="3">
        <v>0.0</v>
      </c>
      <c r="J298" s="3">
        <v>3.3</v>
      </c>
      <c r="K298" s="3">
        <v>668459.37</v>
      </c>
      <c r="L298" s="3">
        <v>126435.42</v>
      </c>
      <c r="M298" s="3">
        <v>0.0</v>
      </c>
      <c r="N298" s="3">
        <v>0.0</v>
      </c>
      <c r="O298" s="3">
        <v>1.0</v>
      </c>
      <c r="P298" s="3">
        <v>1.0</v>
      </c>
      <c r="Q298" s="3">
        <v>0.0</v>
      </c>
      <c r="R298" s="3">
        <v>0.0</v>
      </c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 t="s">
        <v>96</v>
      </c>
      <c r="B299" s="8">
        <v>45689.0</v>
      </c>
      <c r="C299" s="3">
        <v>55477.61</v>
      </c>
      <c r="D299" s="3">
        <v>5903.0</v>
      </c>
      <c r="E299" s="3">
        <v>0.102</v>
      </c>
      <c r="F299" s="3">
        <v>14.0</v>
      </c>
      <c r="G299" s="3">
        <v>96.2</v>
      </c>
      <c r="H299" s="3">
        <v>1.41</v>
      </c>
      <c r="I299" s="3">
        <v>0.0</v>
      </c>
      <c r="J299" s="3">
        <v>3.3</v>
      </c>
      <c r="K299" s="3">
        <v>763162.45</v>
      </c>
      <c r="L299" s="3">
        <v>162524.05</v>
      </c>
      <c r="M299" s="3">
        <v>0.0</v>
      </c>
      <c r="N299" s="3">
        <v>0.0</v>
      </c>
      <c r="O299" s="3">
        <v>1.0</v>
      </c>
      <c r="P299" s="3">
        <v>1.0</v>
      </c>
      <c r="Q299" s="3">
        <v>0.0</v>
      </c>
      <c r="R299" s="3">
        <v>0.0</v>
      </c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 t="s">
        <v>96</v>
      </c>
      <c r="B300" s="8">
        <v>45717.0</v>
      </c>
      <c r="C300" s="3">
        <v>46174.7</v>
      </c>
      <c r="D300" s="3">
        <v>4898.0</v>
      </c>
      <c r="E300" s="3">
        <v>0.114</v>
      </c>
      <c r="F300" s="3">
        <v>11.0</v>
      </c>
      <c r="G300" s="3">
        <v>91.7</v>
      </c>
      <c r="H300" s="3">
        <v>3.75</v>
      </c>
      <c r="I300" s="3">
        <v>0.0</v>
      </c>
      <c r="J300" s="3">
        <v>3.1</v>
      </c>
      <c r="K300" s="3">
        <v>599017.33</v>
      </c>
      <c r="L300" s="3">
        <v>134009.92</v>
      </c>
      <c r="M300" s="3">
        <v>0.0</v>
      </c>
      <c r="N300" s="3">
        <v>0.0</v>
      </c>
      <c r="O300" s="3">
        <v>1.0</v>
      </c>
      <c r="P300" s="3">
        <v>1.0</v>
      </c>
      <c r="Q300" s="3">
        <v>0.0</v>
      </c>
      <c r="R300" s="3">
        <v>0.0</v>
      </c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 t="s">
        <v>96</v>
      </c>
      <c r="B301" s="8">
        <v>45748.0</v>
      </c>
      <c r="C301" s="3">
        <v>24362.98</v>
      </c>
      <c r="D301" s="3">
        <v>1462.0</v>
      </c>
      <c r="E301" s="3">
        <v>0.117</v>
      </c>
      <c r="F301" s="3">
        <v>6.0</v>
      </c>
      <c r="G301" s="3">
        <v>89.3</v>
      </c>
      <c r="H301" s="3">
        <v>15.06</v>
      </c>
      <c r="I301" s="3">
        <v>0.0</v>
      </c>
      <c r="J301" s="3">
        <v>3.2</v>
      </c>
      <c r="K301" s="3">
        <v>401582.58</v>
      </c>
      <c r="L301" s="3">
        <v>68454.93</v>
      </c>
      <c r="M301" s="3">
        <v>0.0</v>
      </c>
      <c r="N301" s="3">
        <v>0.0</v>
      </c>
      <c r="O301" s="3">
        <v>1.0</v>
      </c>
      <c r="P301" s="3">
        <v>1.0</v>
      </c>
      <c r="Q301" s="3">
        <v>0.0</v>
      </c>
      <c r="R301" s="3">
        <v>0.0</v>
      </c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 t="s">
        <v>97</v>
      </c>
      <c r="B302" s="8">
        <v>45658.0</v>
      </c>
      <c r="C302" s="3">
        <v>40647.67</v>
      </c>
      <c r="D302" s="3">
        <v>8252.0</v>
      </c>
      <c r="E302" s="3">
        <v>0.141</v>
      </c>
      <c r="F302" s="3">
        <v>22.0</v>
      </c>
      <c r="G302" s="3">
        <v>88.2</v>
      </c>
      <c r="H302" s="3">
        <v>5.07</v>
      </c>
      <c r="I302" s="3">
        <v>1.0</v>
      </c>
      <c r="J302" s="3">
        <v>4.1</v>
      </c>
      <c r="K302" s="3">
        <v>703812.99</v>
      </c>
      <c r="L302" s="3">
        <v>133577.98</v>
      </c>
      <c r="M302" s="3">
        <v>1.0</v>
      </c>
      <c r="N302" s="3">
        <v>0.0</v>
      </c>
      <c r="O302" s="3">
        <v>0.0</v>
      </c>
      <c r="P302" s="3">
        <v>0.0</v>
      </c>
      <c r="Q302" s="3">
        <v>1.0</v>
      </c>
      <c r="R302" s="3">
        <v>0.0</v>
      </c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 t="s">
        <v>97</v>
      </c>
      <c r="B303" s="8">
        <v>45689.0</v>
      </c>
      <c r="C303" s="3">
        <v>63986.98</v>
      </c>
      <c r="D303" s="3">
        <v>7989.0</v>
      </c>
      <c r="E303" s="3">
        <v>0.074</v>
      </c>
      <c r="F303" s="3">
        <v>20.0</v>
      </c>
      <c r="G303" s="3">
        <v>83.3</v>
      </c>
      <c r="H303" s="3">
        <v>3.6</v>
      </c>
      <c r="I303" s="3">
        <v>0.0</v>
      </c>
      <c r="J303" s="3">
        <v>3.7</v>
      </c>
      <c r="K303" s="3">
        <v>724346.73</v>
      </c>
      <c r="L303" s="3">
        <v>155013.91</v>
      </c>
      <c r="M303" s="3">
        <v>1.0</v>
      </c>
      <c r="N303" s="3">
        <v>0.0</v>
      </c>
      <c r="O303" s="3">
        <v>0.0</v>
      </c>
      <c r="P303" s="3">
        <v>0.0</v>
      </c>
      <c r="Q303" s="3">
        <v>1.0</v>
      </c>
      <c r="R303" s="3">
        <v>0.0</v>
      </c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 t="s">
        <v>97</v>
      </c>
      <c r="B304" s="8">
        <v>45717.0</v>
      </c>
      <c r="C304" s="3">
        <v>52843.75</v>
      </c>
      <c r="D304" s="3">
        <v>8268.0</v>
      </c>
      <c r="E304" s="3">
        <v>0.138</v>
      </c>
      <c r="F304" s="3">
        <v>19.0</v>
      </c>
      <c r="G304" s="3">
        <v>87.3</v>
      </c>
      <c r="H304" s="3">
        <v>4.39</v>
      </c>
      <c r="I304" s="3">
        <v>1.0</v>
      </c>
      <c r="J304" s="3">
        <v>4.7</v>
      </c>
      <c r="K304" s="3">
        <v>730890.01</v>
      </c>
      <c r="L304" s="3">
        <v>105502.56</v>
      </c>
      <c r="M304" s="3">
        <v>1.0</v>
      </c>
      <c r="N304" s="3">
        <v>0.0</v>
      </c>
      <c r="O304" s="3">
        <v>0.0</v>
      </c>
      <c r="P304" s="3">
        <v>0.0</v>
      </c>
      <c r="Q304" s="3">
        <v>1.0</v>
      </c>
      <c r="R304" s="3">
        <v>0.0</v>
      </c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 t="s">
        <v>97</v>
      </c>
      <c r="B305" s="8">
        <v>45748.0</v>
      </c>
      <c r="C305" s="3">
        <v>31997.25</v>
      </c>
      <c r="D305" s="3">
        <v>8183.0</v>
      </c>
      <c r="E305" s="3">
        <v>0.198</v>
      </c>
      <c r="F305" s="3">
        <v>18.0</v>
      </c>
      <c r="G305" s="3">
        <v>93.0</v>
      </c>
      <c r="H305" s="3">
        <v>2.79</v>
      </c>
      <c r="I305" s="3">
        <v>0.0</v>
      </c>
      <c r="J305" s="3">
        <v>4.2</v>
      </c>
      <c r="K305" s="3">
        <v>780580.95</v>
      </c>
      <c r="L305" s="3">
        <v>138144.46</v>
      </c>
      <c r="M305" s="3">
        <v>1.0</v>
      </c>
      <c r="N305" s="3">
        <v>0.0</v>
      </c>
      <c r="O305" s="3">
        <v>0.0</v>
      </c>
      <c r="P305" s="3">
        <v>0.0</v>
      </c>
      <c r="Q305" s="3">
        <v>1.0</v>
      </c>
      <c r="R305" s="3">
        <v>0.0</v>
      </c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 t="s">
        <v>98</v>
      </c>
      <c r="B306" s="8">
        <v>45658.0</v>
      </c>
      <c r="C306" s="3">
        <v>54948.02</v>
      </c>
      <c r="D306" s="3">
        <v>6534.0</v>
      </c>
      <c r="E306" s="3">
        <v>0.183</v>
      </c>
      <c r="F306" s="3">
        <v>14.0</v>
      </c>
      <c r="G306" s="3">
        <v>94.5</v>
      </c>
      <c r="H306" s="3">
        <v>1.56</v>
      </c>
      <c r="I306" s="3">
        <v>0.0</v>
      </c>
      <c r="J306" s="3">
        <v>4.0</v>
      </c>
      <c r="K306" s="3">
        <v>727957.48</v>
      </c>
      <c r="L306" s="3">
        <v>74805.23</v>
      </c>
      <c r="M306" s="3">
        <v>0.0</v>
      </c>
      <c r="N306" s="3">
        <v>1.0</v>
      </c>
      <c r="O306" s="3">
        <v>0.0</v>
      </c>
      <c r="P306" s="3">
        <v>0.0</v>
      </c>
      <c r="Q306" s="3">
        <v>0.0</v>
      </c>
      <c r="R306" s="3">
        <v>1.0</v>
      </c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 t="s">
        <v>98</v>
      </c>
      <c r="B307" s="8">
        <v>45689.0</v>
      </c>
      <c r="C307" s="3">
        <v>46146.24</v>
      </c>
      <c r="D307" s="3">
        <v>5804.0</v>
      </c>
      <c r="E307" s="3">
        <v>0.047</v>
      </c>
      <c r="F307" s="3">
        <v>16.0</v>
      </c>
      <c r="G307" s="3">
        <v>86.9</v>
      </c>
      <c r="H307" s="3">
        <v>15.82</v>
      </c>
      <c r="I307" s="3">
        <v>0.0</v>
      </c>
      <c r="J307" s="3">
        <v>3.8</v>
      </c>
      <c r="K307" s="3">
        <v>538376.0</v>
      </c>
      <c r="L307" s="3">
        <v>87605.62</v>
      </c>
      <c r="M307" s="3">
        <v>0.0</v>
      </c>
      <c r="N307" s="3">
        <v>1.0</v>
      </c>
      <c r="O307" s="3">
        <v>0.0</v>
      </c>
      <c r="P307" s="3">
        <v>0.0</v>
      </c>
      <c r="Q307" s="3">
        <v>0.0</v>
      </c>
      <c r="R307" s="3">
        <v>1.0</v>
      </c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 t="s">
        <v>98</v>
      </c>
      <c r="B308" s="8">
        <v>45717.0</v>
      </c>
      <c r="C308" s="3">
        <v>22387.26</v>
      </c>
      <c r="D308" s="3">
        <v>6301.0</v>
      </c>
      <c r="E308" s="3">
        <v>0.146</v>
      </c>
      <c r="F308" s="3">
        <v>14.0</v>
      </c>
      <c r="G308" s="3">
        <v>85.9</v>
      </c>
      <c r="H308" s="3">
        <v>1.17</v>
      </c>
      <c r="I308" s="3">
        <v>1.0</v>
      </c>
      <c r="J308" s="3">
        <v>3.7</v>
      </c>
      <c r="K308" s="3">
        <v>665342.49</v>
      </c>
      <c r="L308" s="3">
        <v>93441.81</v>
      </c>
      <c r="M308" s="3">
        <v>0.0</v>
      </c>
      <c r="N308" s="3">
        <v>1.0</v>
      </c>
      <c r="O308" s="3">
        <v>0.0</v>
      </c>
      <c r="P308" s="3">
        <v>0.0</v>
      </c>
      <c r="Q308" s="3">
        <v>0.0</v>
      </c>
      <c r="R308" s="3">
        <v>1.0</v>
      </c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 t="s">
        <v>98</v>
      </c>
      <c r="B309" s="8">
        <v>45748.0</v>
      </c>
      <c r="C309" s="3">
        <v>60684.05</v>
      </c>
      <c r="D309" s="3">
        <v>6399.0</v>
      </c>
      <c r="E309" s="3">
        <v>0.075</v>
      </c>
      <c r="F309" s="3">
        <v>16.0</v>
      </c>
      <c r="G309" s="3">
        <v>99.0</v>
      </c>
      <c r="H309" s="3">
        <v>3.82</v>
      </c>
      <c r="I309" s="3">
        <v>0.0</v>
      </c>
      <c r="J309" s="3">
        <v>3.5</v>
      </c>
      <c r="K309" s="3">
        <v>651164.18</v>
      </c>
      <c r="L309" s="3">
        <v>109466.5</v>
      </c>
      <c r="M309" s="3">
        <v>0.0</v>
      </c>
      <c r="N309" s="3">
        <v>1.0</v>
      </c>
      <c r="O309" s="3">
        <v>0.0</v>
      </c>
      <c r="P309" s="3">
        <v>0.0</v>
      </c>
      <c r="Q309" s="3">
        <v>0.0</v>
      </c>
      <c r="R309" s="3">
        <v>1.0</v>
      </c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 t="s">
        <v>99</v>
      </c>
      <c r="B310" s="8">
        <v>45658.0</v>
      </c>
      <c r="C310" s="3">
        <v>48465.6</v>
      </c>
      <c r="D310" s="3">
        <v>5759.0</v>
      </c>
      <c r="E310" s="3">
        <v>0.154</v>
      </c>
      <c r="F310" s="3">
        <v>13.0</v>
      </c>
      <c r="G310" s="3">
        <v>87.5</v>
      </c>
      <c r="H310" s="3">
        <v>4.14</v>
      </c>
      <c r="I310" s="3">
        <v>0.0</v>
      </c>
      <c r="J310" s="3">
        <v>4.0</v>
      </c>
      <c r="K310" s="3">
        <v>628538.3</v>
      </c>
      <c r="L310" s="3">
        <v>112509.15</v>
      </c>
      <c r="M310" s="3">
        <v>0.0</v>
      </c>
      <c r="N310" s="3">
        <v>1.0</v>
      </c>
      <c r="O310" s="3">
        <v>0.0</v>
      </c>
      <c r="P310" s="3">
        <v>1.0</v>
      </c>
      <c r="Q310" s="3">
        <v>0.0</v>
      </c>
      <c r="R310" s="3">
        <v>0.0</v>
      </c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 t="s">
        <v>99</v>
      </c>
      <c r="B311" s="8">
        <v>45689.0</v>
      </c>
      <c r="C311" s="3">
        <v>23702.38</v>
      </c>
      <c r="D311" s="3">
        <v>5285.0</v>
      </c>
      <c r="E311" s="3">
        <v>0.167</v>
      </c>
      <c r="F311" s="3">
        <v>14.0</v>
      </c>
      <c r="G311" s="3">
        <v>79.7</v>
      </c>
      <c r="H311" s="3">
        <v>1.1</v>
      </c>
      <c r="I311" s="3">
        <v>0.0</v>
      </c>
      <c r="J311" s="3">
        <v>4.3</v>
      </c>
      <c r="K311" s="3">
        <v>536524.84</v>
      </c>
      <c r="L311" s="3">
        <v>92752.94</v>
      </c>
      <c r="M311" s="3">
        <v>0.0</v>
      </c>
      <c r="N311" s="3">
        <v>1.0</v>
      </c>
      <c r="O311" s="3">
        <v>0.0</v>
      </c>
      <c r="P311" s="3">
        <v>1.0</v>
      </c>
      <c r="Q311" s="3">
        <v>0.0</v>
      </c>
      <c r="R311" s="3">
        <v>0.0</v>
      </c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 t="s">
        <v>99</v>
      </c>
      <c r="B312" s="8">
        <v>45717.0</v>
      </c>
      <c r="C312" s="3">
        <v>54322.94</v>
      </c>
      <c r="D312" s="3">
        <v>5434.0</v>
      </c>
      <c r="E312" s="3">
        <v>0.2</v>
      </c>
      <c r="F312" s="3">
        <v>13.0</v>
      </c>
      <c r="G312" s="3">
        <v>85.7</v>
      </c>
      <c r="H312" s="3">
        <v>10.6</v>
      </c>
      <c r="I312" s="3">
        <v>0.0</v>
      </c>
      <c r="J312" s="3">
        <v>4.2</v>
      </c>
      <c r="K312" s="3">
        <v>621677.3</v>
      </c>
      <c r="L312" s="3">
        <v>105192.52</v>
      </c>
      <c r="M312" s="3">
        <v>0.0</v>
      </c>
      <c r="N312" s="3">
        <v>1.0</v>
      </c>
      <c r="O312" s="3">
        <v>0.0</v>
      </c>
      <c r="P312" s="3">
        <v>1.0</v>
      </c>
      <c r="Q312" s="3">
        <v>0.0</v>
      </c>
      <c r="R312" s="3">
        <v>0.0</v>
      </c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 t="s">
        <v>99</v>
      </c>
      <c r="B313" s="8">
        <v>45748.0</v>
      </c>
      <c r="C313" s="3">
        <v>86026.58</v>
      </c>
      <c r="D313" s="3">
        <v>7479.0</v>
      </c>
      <c r="E313" s="3">
        <v>0.142</v>
      </c>
      <c r="F313" s="3">
        <v>20.0</v>
      </c>
      <c r="G313" s="3">
        <v>89.0</v>
      </c>
      <c r="H313" s="3">
        <v>0.9</v>
      </c>
      <c r="I313" s="3">
        <v>0.0</v>
      </c>
      <c r="J313" s="3">
        <v>3.9</v>
      </c>
      <c r="K313" s="3">
        <v>771129.07</v>
      </c>
      <c r="L313" s="3">
        <v>116851.13</v>
      </c>
      <c r="M313" s="3">
        <v>0.0</v>
      </c>
      <c r="N313" s="3">
        <v>1.0</v>
      </c>
      <c r="O313" s="3">
        <v>0.0</v>
      </c>
      <c r="P313" s="3">
        <v>1.0</v>
      </c>
      <c r="Q313" s="3">
        <v>0.0</v>
      </c>
      <c r="R313" s="3">
        <v>0.0</v>
      </c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 t="s">
        <v>100</v>
      </c>
      <c r="B314" s="8">
        <v>45658.0</v>
      </c>
      <c r="C314" s="3">
        <v>78967.52</v>
      </c>
      <c r="D314" s="3">
        <v>6164.0</v>
      </c>
      <c r="E314" s="3">
        <v>0.021</v>
      </c>
      <c r="F314" s="3">
        <v>16.0</v>
      </c>
      <c r="G314" s="3">
        <v>85.5</v>
      </c>
      <c r="H314" s="3">
        <v>0.2</v>
      </c>
      <c r="I314" s="3">
        <v>0.0</v>
      </c>
      <c r="J314" s="3">
        <v>3.4</v>
      </c>
      <c r="K314" s="3">
        <v>702052.47</v>
      </c>
      <c r="L314" s="3">
        <v>121732.51</v>
      </c>
      <c r="M314" s="3">
        <v>1.0</v>
      </c>
      <c r="N314" s="3">
        <v>0.0</v>
      </c>
      <c r="O314" s="3">
        <v>0.0</v>
      </c>
      <c r="P314" s="3">
        <v>0.0</v>
      </c>
      <c r="Q314" s="3">
        <v>0.0</v>
      </c>
      <c r="R314" s="3">
        <v>1.0</v>
      </c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 t="s">
        <v>100</v>
      </c>
      <c r="B315" s="8">
        <v>45689.0</v>
      </c>
      <c r="C315" s="3">
        <v>46767.99</v>
      </c>
      <c r="D315" s="3">
        <v>7973.0</v>
      </c>
      <c r="E315" s="3">
        <v>0.183</v>
      </c>
      <c r="F315" s="3">
        <v>18.0</v>
      </c>
      <c r="G315" s="3">
        <v>94.8</v>
      </c>
      <c r="H315" s="3">
        <v>4.67</v>
      </c>
      <c r="I315" s="3">
        <v>0.0</v>
      </c>
      <c r="J315" s="3">
        <v>3.9</v>
      </c>
      <c r="K315" s="3">
        <v>688368.46</v>
      </c>
      <c r="L315" s="3">
        <v>93588.42</v>
      </c>
      <c r="M315" s="3">
        <v>1.0</v>
      </c>
      <c r="N315" s="3">
        <v>0.0</v>
      </c>
      <c r="O315" s="3">
        <v>0.0</v>
      </c>
      <c r="P315" s="3">
        <v>0.0</v>
      </c>
      <c r="Q315" s="3">
        <v>0.0</v>
      </c>
      <c r="R315" s="3">
        <v>1.0</v>
      </c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 t="s">
        <v>100</v>
      </c>
      <c r="B316" s="8">
        <v>45717.0</v>
      </c>
      <c r="C316" s="3">
        <v>62507.16</v>
      </c>
      <c r="D316" s="3">
        <v>6000.0</v>
      </c>
      <c r="E316" s="3">
        <v>0.091</v>
      </c>
      <c r="F316" s="3">
        <v>14.0</v>
      </c>
      <c r="G316" s="3">
        <v>98.2</v>
      </c>
      <c r="H316" s="3">
        <v>4.38</v>
      </c>
      <c r="I316" s="3">
        <v>1.0</v>
      </c>
      <c r="J316" s="3">
        <v>3.9</v>
      </c>
      <c r="K316" s="3">
        <v>712375.77</v>
      </c>
      <c r="L316" s="3">
        <v>104171.53</v>
      </c>
      <c r="M316" s="3">
        <v>1.0</v>
      </c>
      <c r="N316" s="3">
        <v>0.0</v>
      </c>
      <c r="O316" s="3">
        <v>0.0</v>
      </c>
      <c r="P316" s="3">
        <v>0.0</v>
      </c>
      <c r="Q316" s="3">
        <v>0.0</v>
      </c>
      <c r="R316" s="3">
        <v>1.0</v>
      </c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 t="s">
        <v>100</v>
      </c>
      <c r="B317" s="8">
        <v>45748.0</v>
      </c>
      <c r="C317" s="3">
        <v>66456.28</v>
      </c>
      <c r="D317" s="3">
        <v>9967.0</v>
      </c>
      <c r="E317" s="3">
        <v>0.108</v>
      </c>
      <c r="F317" s="3">
        <v>20.0</v>
      </c>
      <c r="G317" s="3">
        <v>94.7</v>
      </c>
      <c r="H317" s="3">
        <v>4.48</v>
      </c>
      <c r="I317" s="3">
        <v>0.0</v>
      </c>
      <c r="J317" s="3">
        <v>4.2</v>
      </c>
      <c r="K317" s="3">
        <v>844710.67</v>
      </c>
      <c r="L317" s="3">
        <v>137140.18</v>
      </c>
      <c r="M317" s="3">
        <v>1.0</v>
      </c>
      <c r="N317" s="3">
        <v>0.0</v>
      </c>
      <c r="O317" s="3">
        <v>0.0</v>
      </c>
      <c r="P317" s="3">
        <v>0.0</v>
      </c>
      <c r="Q317" s="3">
        <v>0.0</v>
      </c>
      <c r="R317" s="3">
        <v>1.0</v>
      </c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 t="s">
        <v>101</v>
      </c>
      <c r="B318" s="8">
        <v>45658.0</v>
      </c>
      <c r="C318" s="3">
        <v>76614.32</v>
      </c>
      <c r="D318" s="3">
        <v>5639.0</v>
      </c>
      <c r="E318" s="3">
        <v>0.174</v>
      </c>
      <c r="F318" s="3">
        <v>15.0</v>
      </c>
      <c r="G318" s="3">
        <v>92.9</v>
      </c>
      <c r="H318" s="3">
        <v>1.02</v>
      </c>
      <c r="I318" s="3">
        <v>1.0</v>
      </c>
      <c r="J318" s="3">
        <v>4.0</v>
      </c>
      <c r="K318" s="3">
        <v>620264.2</v>
      </c>
      <c r="L318" s="3">
        <v>91365.64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1.0</v>
      </c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 t="s">
        <v>101</v>
      </c>
      <c r="B319" s="8">
        <v>45689.0</v>
      </c>
      <c r="C319" s="3">
        <v>24088.06</v>
      </c>
      <c r="D319" s="3">
        <v>3466.0</v>
      </c>
      <c r="E319" s="3">
        <v>0.0</v>
      </c>
      <c r="F319" s="3">
        <v>11.0</v>
      </c>
      <c r="G319" s="3">
        <v>88.0</v>
      </c>
      <c r="H319" s="3">
        <v>0.2</v>
      </c>
      <c r="I319" s="3">
        <v>0.0</v>
      </c>
      <c r="J319" s="3">
        <v>3.8</v>
      </c>
      <c r="K319" s="3">
        <v>536845.42</v>
      </c>
      <c r="L319" s="3">
        <v>107473.75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1.0</v>
      </c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 t="s">
        <v>101</v>
      </c>
      <c r="B320" s="8">
        <v>45717.0</v>
      </c>
      <c r="C320" s="3">
        <v>81902.58</v>
      </c>
      <c r="D320" s="3">
        <v>7775.0</v>
      </c>
      <c r="E320" s="3">
        <v>0.215</v>
      </c>
      <c r="F320" s="3">
        <v>20.0</v>
      </c>
      <c r="G320" s="3">
        <v>85.2</v>
      </c>
      <c r="H320" s="3">
        <v>4.89</v>
      </c>
      <c r="I320" s="3">
        <v>1.0</v>
      </c>
      <c r="J320" s="3">
        <v>4.2</v>
      </c>
      <c r="K320" s="3">
        <v>726776.22</v>
      </c>
      <c r="L320" s="3">
        <v>90804.49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1.0</v>
      </c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 t="s">
        <v>101</v>
      </c>
      <c r="B321" s="8">
        <v>45748.0</v>
      </c>
      <c r="C321" s="3">
        <v>40553.11</v>
      </c>
      <c r="D321" s="3">
        <v>5317.0</v>
      </c>
      <c r="E321" s="3">
        <v>0.165</v>
      </c>
      <c r="F321" s="3">
        <v>17.0</v>
      </c>
      <c r="G321" s="3">
        <v>84.3</v>
      </c>
      <c r="H321" s="3">
        <v>11.82</v>
      </c>
      <c r="I321" s="3">
        <v>0.0</v>
      </c>
      <c r="J321" s="3">
        <v>4.1</v>
      </c>
      <c r="K321" s="3">
        <v>559660.84</v>
      </c>
      <c r="L321" s="3">
        <v>71443.61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1.0</v>
      </c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0.57"/>
    <col customWidth="1" min="3" max="3" width="8.71"/>
    <col customWidth="1" min="4" max="4" width="26.29"/>
    <col customWidth="1" min="5" max="5" width="43.14"/>
    <col customWidth="1" min="6" max="6" width="15.43"/>
    <col customWidth="1" min="7" max="13" width="8.71"/>
  </cols>
  <sheetData>
    <row r="1">
      <c r="A1" s="9" t="s">
        <v>108</v>
      </c>
      <c r="B1" s="10"/>
      <c r="C1" s="5"/>
      <c r="D1" s="11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109</v>
      </c>
      <c r="B2" s="5"/>
      <c r="C2" s="5"/>
      <c r="D2" s="12" t="s">
        <v>110</v>
      </c>
      <c r="E2" s="3">
        <f>SLOPE(B9:B328,A9:A328)</f>
        <v>2.129575328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/>
      <c r="B3" s="5"/>
      <c r="C3" s="5"/>
      <c r="D3" s="12" t="s">
        <v>111</v>
      </c>
      <c r="E3" s="3">
        <f>INTERCEPT(B9:B328,A9:A328)</f>
        <v>560777.3454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112</v>
      </c>
      <c r="B4" s="3" t="s">
        <v>4</v>
      </c>
      <c r="C4" s="5"/>
      <c r="D4" s="12" t="s">
        <v>113</v>
      </c>
      <c r="E4" s="3">
        <f>RSQ(B9:B328,A9:A328)</f>
        <v>0.1672446911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114</v>
      </c>
      <c r="B5" s="3" t="s">
        <v>12</v>
      </c>
      <c r="C5" s="5"/>
      <c r="D5" s="12" t="s">
        <v>115</v>
      </c>
      <c r="E5" s="3" t="str">
        <f>"monthly_sales = "&amp;ROUND(E3,4)&amp;" + ("&amp;ROUND(E2,4)&amp;" × marketing_spend)"</f>
        <v>monthly_sales = 560777.3454 + (2.1296 × marketing_spend)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12" t="s">
        <v>116</v>
      </c>
      <c r="E6" s="13">
        <f>_xlfn.F.DIST.RT(E15,1,F15)</f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8.0" customHeight="1">
      <c r="A7" s="5"/>
      <c r="B7" s="5"/>
      <c r="C7" s="5"/>
      <c r="D7" s="12" t="s">
        <v>117</v>
      </c>
      <c r="E7" s="14" t="s">
        <v>118</v>
      </c>
      <c r="F7" s="1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 t="s">
        <v>4</v>
      </c>
      <c r="B8" s="16" t="s">
        <v>12</v>
      </c>
      <c r="C8" s="5"/>
      <c r="D8" s="12" t="s">
        <v>119</v>
      </c>
      <c r="E8" s="3" t="str">
        <f>IF(E6&lt;0.05,"Yes","No")</f>
        <v>Yes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f>Cleaned_Prepared_Data!E2</f>
        <v>70389.11</v>
      </c>
      <c r="B9" s="3">
        <f>Cleaned_Prepared_Data!M2</f>
        <v>658832.62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f>Cleaned_Prepared_Data!E3</f>
        <v>43827.89</v>
      </c>
      <c r="B10" s="3">
        <f>Cleaned_Prepared_Data!M3</f>
        <v>634436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f>Cleaned_Prepared_Data!E4</f>
        <v>59921.75</v>
      </c>
      <c r="B11" s="3">
        <f>Cleaned_Prepared_Data!M4</f>
        <v>678722.06</v>
      </c>
      <c r="C11" s="5"/>
      <c r="D11" s="5"/>
      <c r="E11" s="17" t="s">
        <v>120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f>Cleaned_Prepared_Data!E5</f>
        <v>56856.63</v>
      </c>
      <c r="B12" s="3">
        <f>Cleaned_Prepared_Data!M5</f>
        <v>658920.3</v>
      </c>
      <c r="C12" s="5"/>
      <c r="D12" s="5"/>
      <c r="E12" s="3">
        <f t="array" ref="E12:F16">LINEST(B9:B328, A9:A328, TRUE, TRUE)</f>
        <v>2.129575328</v>
      </c>
      <c r="F12" s="3">
        <v>560777.3454494373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f>Cleaned_Prepared_Data!E6</f>
        <v>48412.64</v>
      </c>
      <c r="B13" s="3">
        <f>Cleaned_Prepared_Data!M6</f>
        <v>741341.44</v>
      </c>
      <c r="C13" s="5"/>
      <c r="D13" s="5"/>
      <c r="E13" s="3">
        <v>0.2664783810693233</v>
      </c>
      <c r="F13" s="3">
        <v>15906.905953068663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f>Cleaned_Prepared_Data!E7</f>
        <v>64811.21</v>
      </c>
      <c r="B14" s="3">
        <f>Cleaned_Prepared_Data!M7</f>
        <v>761835.34</v>
      </c>
      <c r="C14" s="5"/>
      <c r="D14" s="5"/>
      <c r="E14" s="3">
        <v>0.16724469112486995</v>
      </c>
      <c r="F14" s="3">
        <v>94846.0338321585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f>Cleaned_Prepared_Data!E8</f>
        <v>46213.45</v>
      </c>
      <c r="B15" s="3">
        <f>Cleaned_Prepared_Data!M8</f>
        <v>806615.54</v>
      </c>
      <c r="C15" s="5"/>
      <c r="D15" s="5"/>
      <c r="E15" s="3">
        <v>63.864872683367615</v>
      </c>
      <c r="F15" s="3">
        <v>318.0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f>Cleaned_Prepared_Data!E9</f>
        <v>68148.52</v>
      </c>
      <c r="B16" s="3">
        <f>Cleaned_Prepared_Data!M9</f>
        <v>850164.26</v>
      </c>
      <c r="C16" s="5"/>
      <c r="D16" s="5"/>
      <c r="E16" s="3">
        <v>5.745137142770137E11</v>
      </c>
      <c r="F16" s="3">
        <v>2.8606549025137236E12</v>
      </c>
      <c r="G16" s="5"/>
      <c r="H16" s="5"/>
      <c r="I16" s="5"/>
      <c r="J16" s="5"/>
      <c r="K16" s="5"/>
      <c r="L16" s="5"/>
      <c r="M16" s="1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f>Cleaned_Prepared_Data!E10</f>
        <v>71838.86</v>
      </c>
      <c r="B17" s="3">
        <f>Cleaned_Prepared_Data!M10</f>
        <v>930581.7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f>Cleaned_Prepared_Data!E11</f>
        <v>68133.44</v>
      </c>
      <c r="B18" s="3">
        <f>Cleaned_Prepared_Data!M11</f>
        <v>779010.94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f>Cleaned_Prepared_Data!E12</f>
        <v>34285.21</v>
      </c>
      <c r="B19" s="3">
        <f>Cleaned_Prepared_Data!M12</f>
        <v>723060.76</v>
      </c>
      <c r="C19" s="5"/>
      <c r="D19" s="5"/>
      <c r="E19" s="9" t="s">
        <v>121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f>Cleaned_Prepared_Data!E13</f>
        <v>67979.88</v>
      </c>
      <c r="B20" s="3">
        <f>Cleaned_Prepared_Data!M13</f>
        <v>910791.94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f>Cleaned_Prepared_Data!E14</f>
        <v>71828.26</v>
      </c>
      <c r="B21" s="3">
        <f>Cleaned_Prepared_Data!M14</f>
        <v>922168.6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f>Cleaned_Prepared_Data!E15</f>
        <v>55716.82</v>
      </c>
      <c r="B22" s="3">
        <f>Cleaned_Prepared_Data!M15</f>
        <v>726606.28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f>Cleaned_Prepared_Data!E16</f>
        <v>59909.51</v>
      </c>
      <c r="B23" s="3">
        <f>Cleaned_Prepared_Data!M16</f>
        <v>746501.09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f>Cleaned_Prepared_Data!E17</f>
        <v>75305.71</v>
      </c>
      <c r="B24" s="3">
        <f>Cleaned_Prepared_Data!M17</f>
        <v>834017.02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f>Cleaned_Prepared_Data!E18</f>
        <v>48804.22</v>
      </c>
      <c r="B25" s="3">
        <f>Cleaned_Prepared_Data!M18</f>
        <v>666152.52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f>Cleaned_Prepared_Data!E19</f>
        <v>59117.9</v>
      </c>
      <c r="B26" s="3">
        <f>Cleaned_Prepared_Data!M19</f>
        <v>573155.19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f>Cleaned_Prepared_Data!E20</f>
        <v>78831.12</v>
      </c>
      <c r="B27" s="3">
        <f>Cleaned_Prepared_Data!M20</f>
        <v>666573.2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f>Cleaned_Prepared_Data!E21</f>
        <v>41441.93</v>
      </c>
      <c r="B28" s="3">
        <f>Cleaned_Prepared_Data!M21</f>
        <v>591619.95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f>Cleaned_Prepared_Data!E22</f>
        <v>30356.28</v>
      </c>
      <c r="B29" s="3">
        <f>Cleaned_Prepared_Data!M22</f>
        <v>415721.82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f>Cleaned_Prepared_Data!E23</f>
        <v>33518.88</v>
      </c>
      <c r="B30" s="3">
        <f>Cleaned_Prepared_Data!M23</f>
        <v>491905.13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f>Cleaned_Prepared_Data!E24</f>
        <v>42267.37</v>
      </c>
      <c r="B31" s="3">
        <f>Cleaned_Prepared_Data!M24</f>
        <v>555929.4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f>Cleaned_Prepared_Data!E25</f>
        <v>62060.43</v>
      </c>
      <c r="B32" s="3">
        <f>Cleaned_Prepared_Data!M25</f>
        <v>565810.99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f>Cleaned_Prepared_Data!E26</f>
        <v>57696.69</v>
      </c>
      <c r="B33" s="3">
        <f>Cleaned_Prepared_Data!M26</f>
        <v>811771.14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f>Cleaned_Prepared_Data!E27</f>
        <v>172415.52</v>
      </c>
      <c r="B34" s="3">
        <f>Cleaned_Prepared_Data!M27</f>
        <v>800451.94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f>Cleaned_Prepared_Data!E28</f>
        <v>55270.52</v>
      </c>
      <c r="B35" s="3">
        <f>Cleaned_Prepared_Data!M28</f>
        <v>783672.82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f>Cleaned_Prepared_Data!E29</f>
        <v>52715.1</v>
      </c>
      <c r="B36" s="3">
        <f>Cleaned_Prepared_Data!M29</f>
        <v>701641.97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f>Cleaned_Prepared_Data!E30</f>
        <v>68600.62</v>
      </c>
      <c r="B37" s="3">
        <f>Cleaned_Prepared_Data!M30</f>
        <v>511844.41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f>Cleaned_Prepared_Data!E31</f>
        <v>63176.73</v>
      </c>
      <c r="B38" s="3">
        <f>Cleaned_Prepared_Data!M31</f>
        <v>537383.79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f>Cleaned_Prepared_Data!E32</f>
        <v>44970.08</v>
      </c>
      <c r="B39" s="3">
        <f>Cleaned_Prepared_Data!M32</f>
        <v>500173.02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f>Cleaned_Prepared_Data!E33</f>
        <v>69816.35</v>
      </c>
      <c r="B40" s="3">
        <f>Cleaned_Prepared_Data!M33</f>
        <v>427917.38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f>Cleaned_Prepared_Data!E34</f>
        <v>54597.83</v>
      </c>
      <c r="B41" s="3">
        <f>Cleaned_Prepared_Data!M34</f>
        <v>641865.03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f>Cleaned_Prepared_Data!E35</f>
        <v>73771.91</v>
      </c>
      <c r="B42" s="3">
        <f>Cleaned_Prepared_Data!M35</f>
        <v>799477.76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f>Cleaned_Prepared_Data!E36</f>
        <v>74413.88</v>
      </c>
      <c r="B43" s="3">
        <f>Cleaned_Prepared_Data!M36</f>
        <v>798952.17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f>Cleaned_Prepared_Data!E37</f>
        <v>52483.77</v>
      </c>
      <c r="B44" s="3">
        <f>Cleaned_Prepared_Data!M37</f>
        <v>800979.78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f>Cleaned_Prepared_Data!E38</f>
        <v>75269.87</v>
      </c>
      <c r="B45" s="3">
        <f>Cleaned_Prepared_Data!M38</f>
        <v>820593.93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f>Cleaned_Prepared_Data!E39</f>
        <v>61245.41</v>
      </c>
      <c r="B46" s="3">
        <f>Cleaned_Prepared_Data!M39</f>
        <v>718330.53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>
        <f>Cleaned_Prepared_Data!E40</f>
        <v>93381.26</v>
      </c>
      <c r="B47" s="3">
        <f>Cleaned_Prepared_Data!M40</f>
        <v>736633.4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>
        <f>Cleaned_Prepared_Data!E41</f>
        <v>65012.19</v>
      </c>
      <c r="B48" s="3">
        <f>Cleaned_Prepared_Data!M41</f>
        <v>828623.85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>
        <f>Cleaned_Prepared_Data!E42</f>
        <v>40462.94</v>
      </c>
      <c r="B49" s="3">
        <f>Cleaned_Prepared_Data!M42</f>
        <v>592195.85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f>Cleaned_Prepared_Data!E43</f>
        <v>46123.88</v>
      </c>
      <c r="B50" s="3">
        <f>Cleaned_Prepared_Data!M43</f>
        <v>532644.46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f>Cleaned_Prepared_Data!E44</f>
        <v>68077.54</v>
      </c>
      <c r="B51" s="3">
        <f>Cleaned_Prepared_Data!M44</f>
        <v>657429.18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f>Cleaned_Prepared_Data!E45</f>
        <v>64882.14</v>
      </c>
      <c r="B52" s="3">
        <f>Cleaned_Prepared_Data!M45</f>
        <v>605178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f>Cleaned_Prepared_Data!E46</f>
        <v>138855.51</v>
      </c>
      <c r="B53" s="3">
        <f>Cleaned_Prepared_Data!M46</f>
        <v>595467.6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f>Cleaned_Prepared_Data!E47</f>
        <v>63630.21</v>
      </c>
      <c r="B54" s="3">
        <f>Cleaned_Prepared_Data!M47</f>
        <v>599603.4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f>Cleaned_Prepared_Data!E48</f>
        <v>50043.65</v>
      </c>
      <c r="B55" s="3">
        <f>Cleaned_Prepared_Data!M48</f>
        <v>614800.09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f>Cleaned_Prepared_Data!E49</f>
        <v>42093.84</v>
      </c>
      <c r="B56" s="3">
        <f>Cleaned_Prepared_Data!M49</f>
        <v>585365.73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f>Cleaned_Prepared_Data!E50</f>
        <v>46624.05</v>
      </c>
      <c r="B57" s="3">
        <f>Cleaned_Prepared_Data!M50</f>
        <v>622811.74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f>Cleaned_Prepared_Data!E51</f>
        <v>49710.29</v>
      </c>
      <c r="B58" s="3">
        <f>Cleaned_Prepared_Data!M51</f>
        <v>603297.57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f>Cleaned_Prepared_Data!E52</f>
        <v>48287.85</v>
      </c>
      <c r="B59" s="3">
        <f>Cleaned_Prepared_Data!M52</f>
        <v>625672.86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f>Cleaned_Prepared_Data!E53</f>
        <v>65312.49</v>
      </c>
      <c r="B60" s="3">
        <f>Cleaned_Prepared_Data!M53</f>
        <v>773815.14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f>Cleaned_Prepared_Data!E54</f>
        <v>53015.46</v>
      </c>
      <c r="B61" s="3">
        <f>Cleaned_Prepared_Data!M54</f>
        <v>463534.25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f>Cleaned_Prepared_Data!E55</f>
        <v>99874.01</v>
      </c>
      <c r="B62" s="3">
        <f>Cleaned_Prepared_Data!M55</f>
        <v>746677.75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f>Cleaned_Prepared_Data!E56</f>
        <v>81195.5</v>
      </c>
      <c r="B63" s="3">
        <f>Cleaned_Prepared_Data!M56</f>
        <v>720852.5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f>Cleaned_Prepared_Data!E57</f>
        <v>27808.6</v>
      </c>
      <c r="B64" s="3">
        <f>Cleaned_Prepared_Data!M57</f>
        <v>487464.91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f>Cleaned_Prepared_Data!E58</f>
        <v>19365.06</v>
      </c>
      <c r="B65" s="3">
        <f>Cleaned_Prepared_Data!M58</f>
        <v>518049.26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f>Cleaned_Prepared_Data!E59</f>
        <v>59405.68</v>
      </c>
      <c r="B66" s="3">
        <f>Cleaned_Prepared_Data!M59</f>
        <v>500298.48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f>Cleaned_Prepared_Data!E60</f>
        <v>118910.48</v>
      </c>
      <c r="B67" s="3">
        <f>Cleaned_Prepared_Data!M60</f>
        <v>617291.15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f>Cleaned_Prepared_Data!E61</f>
        <v>52952.12</v>
      </c>
      <c r="B68" s="3">
        <f>Cleaned_Prepared_Data!M61</f>
        <v>553756.43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f>Cleaned_Prepared_Data!E62</f>
        <v>74907.98</v>
      </c>
      <c r="B69" s="3">
        <f>Cleaned_Prepared_Data!M62</f>
        <v>749559.71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f>Cleaned_Prepared_Data!E63</f>
        <v>37284.66</v>
      </c>
      <c r="B70" s="3">
        <f>Cleaned_Prepared_Data!M63</f>
        <v>615966.48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f>Cleaned_Prepared_Data!E64</f>
        <v>50343.19</v>
      </c>
      <c r="B71" s="3">
        <f>Cleaned_Prepared_Data!M64</f>
        <v>572011.2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f>Cleaned_Prepared_Data!E65</f>
        <v>74954.47</v>
      </c>
      <c r="B72" s="3">
        <f>Cleaned_Prepared_Data!M65</f>
        <v>761860.19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f>Cleaned_Prepared_Data!E66</f>
        <v>70040.31</v>
      </c>
      <c r="B73" s="3">
        <f>Cleaned_Prepared_Data!M66</f>
        <v>784502.68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f>Cleaned_Prepared_Data!E67</f>
        <v>51148.69</v>
      </c>
      <c r="B74" s="3">
        <f>Cleaned_Prepared_Data!M67</f>
        <v>717141.55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f>Cleaned_Prepared_Data!E68</f>
        <v>79346.1</v>
      </c>
      <c r="B75" s="3">
        <f>Cleaned_Prepared_Data!M68</f>
        <v>685379.08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f>Cleaned_Prepared_Data!E69</f>
        <v>42018.4</v>
      </c>
      <c r="B76" s="3">
        <f>Cleaned_Prepared_Data!M69</f>
        <v>740496.65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f>Cleaned_Prepared_Data!E70</f>
        <v>70937.24</v>
      </c>
      <c r="B77" s="3">
        <f>Cleaned_Prepared_Data!M70</f>
        <v>661927.14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f>Cleaned_Prepared_Data!E71</f>
        <v>36813.45</v>
      </c>
      <c r="B78" s="3">
        <f>Cleaned_Prepared_Data!M71</f>
        <v>479050.5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f>Cleaned_Prepared_Data!E72</f>
        <v>60571.82</v>
      </c>
      <c r="B79" s="3">
        <f>Cleaned_Prepared_Data!M72</f>
        <v>605023.87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f>Cleaned_Prepared_Data!E73</f>
        <v>55081.16</v>
      </c>
      <c r="B80" s="3">
        <f>Cleaned_Prepared_Data!M73</f>
        <v>674774.09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f>Cleaned_Prepared_Data!E74</f>
        <v>46201.46</v>
      </c>
      <c r="B81" s="3">
        <f>Cleaned_Prepared_Data!M74</f>
        <v>616069.41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f>Cleaned_Prepared_Data!E75</f>
        <v>53762.92</v>
      </c>
      <c r="B82" s="3">
        <f>Cleaned_Prepared_Data!M75</f>
        <v>630829.94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f>Cleaned_Prepared_Data!E76</f>
        <v>70144.78</v>
      </c>
      <c r="B83" s="3">
        <f>Cleaned_Prepared_Data!M76</f>
        <v>788087.68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f>Cleaned_Prepared_Data!E77</f>
        <v>58749.63</v>
      </c>
      <c r="B84" s="3">
        <f>Cleaned_Prepared_Data!M77</f>
        <v>680840.36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f>Cleaned_Prepared_Data!E78</f>
        <v>56973.18</v>
      </c>
      <c r="B85" s="3">
        <f>Cleaned_Prepared_Data!M78</f>
        <v>643657.47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f>Cleaned_Prepared_Data!E79</f>
        <v>54872.82</v>
      </c>
      <c r="B86" s="3">
        <f>Cleaned_Prepared_Data!M79</f>
        <v>691112.6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f>Cleaned_Prepared_Data!E80</f>
        <v>80562.81</v>
      </c>
      <c r="B87" s="3">
        <f>Cleaned_Prepared_Data!M80</f>
        <v>776922.17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f>Cleaned_Prepared_Data!E81</f>
        <v>77999.9</v>
      </c>
      <c r="B88" s="3">
        <f>Cleaned_Prepared_Data!M81</f>
        <v>636561.34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f>Cleaned_Prepared_Data!E82</f>
        <v>60881.01</v>
      </c>
      <c r="B89" s="3">
        <f>Cleaned_Prepared_Data!M82</f>
        <v>621369.58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f>Cleaned_Prepared_Data!E83</f>
        <v>60628.38</v>
      </c>
      <c r="B90" s="3">
        <f>Cleaned_Prepared_Data!M83</f>
        <v>682208.01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f>Cleaned_Prepared_Data!E84</f>
        <v>72731.14</v>
      </c>
      <c r="B91" s="3">
        <f>Cleaned_Prepared_Data!M84</f>
        <v>727241.86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f>Cleaned_Prepared_Data!E85</f>
        <v>36475.71</v>
      </c>
      <c r="B92" s="3">
        <f>Cleaned_Prepared_Data!M85</f>
        <v>569100.78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f>Cleaned_Prepared_Data!E86</f>
        <v>55388.11</v>
      </c>
      <c r="B93" s="3">
        <f>Cleaned_Prepared_Data!M86</f>
        <v>574436.29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f>Cleaned_Prepared_Data!E87</f>
        <v>88443.77</v>
      </c>
      <c r="B94" s="3">
        <f>Cleaned_Prepared_Data!M87</f>
        <v>611766.72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f>Cleaned_Prepared_Data!E88</f>
        <v>78231.91</v>
      </c>
      <c r="B95" s="3">
        <f>Cleaned_Prepared_Data!M88</f>
        <v>614596.32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f>Cleaned_Prepared_Data!E89</f>
        <v>18996.32</v>
      </c>
      <c r="B96" s="3">
        <f>Cleaned_Prepared_Data!M89</f>
        <v>450711.92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f>Cleaned_Prepared_Data!E90</f>
        <v>50517.94</v>
      </c>
      <c r="B97" s="3">
        <f>Cleaned_Prepared_Data!M90</f>
        <v>711213.46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f>Cleaned_Prepared_Data!E91</f>
        <v>141540.29</v>
      </c>
      <c r="B98" s="3">
        <f>Cleaned_Prepared_Data!M91</f>
        <v>627171.9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f>Cleaned_Prepared_Data!E92</f>
        <v>82116.19</v>
      </c>
      <c r="B99" s="3">
        <f>Cleaned_Prepared_Data!M92</f>
        <v>739852.58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f>Cleaned_Prepared_Data!E93</f>
        <v>31207.51</v>
      </c>
      <c r="B100" s="3">
        <f>Cleaned_Prepared_Data!M93</f>
        <v>586307.22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f>Cleaned_Prepared_Data!E94</f>
        <v>38966.59</v>
      </c>
      <c r="B101" s="3">
        <f>Cleaned_Prepared_Data!M94</f>
        <v>585937.48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f>Cleaned_Prepared_Data!E95</f>
        <v>67439.3</v>
      </c>
      <c r="B102" s="3">
        <f>Cleaned_Prepared_Data!M95</f>
        <v>753473.55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f>Cleaned_Prepared_Data!E96</f>
        <v>86421.88</v>
      </c>
      <c r="B103" s="3">
        <f>Cleaned_Prepared_Data!M96</f>
        <v>838250.32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f>Cleaned_Prepared_Data!E97</f>
        <v>9534.65</v>
      </c>
      <c r="B104" s="3">
        <f>Cleaned_Prepared_Data!M97</f>
        <v>607898.12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f>Cleaned_Prepared_Data!E98</f>
        <v>61132.07</v>
      </c>
      <c r="B105" s="3">
        <f>Cleaned_Prepared_Data!M98</f>
        <v>691113.62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f>Cleaned_Prepared_Data!E99</f>
        <v>78839.39</v>
      </c>
      <c r="B106" s="3">
        <f>Cleaned_Prepared_Data!M99</f>
        <v>735509.4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f>Cleaned_Prepared_Data!E100</f>
        <v>38752.8</v>
      </c>
      <c r="B107" s="3">
        <f>Cleaned_Prepared_Data!M100</f>
        <v>605775.33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f>Cleaned_Prepared_Data!E101</f>
        <v>55101.1</v>
      </c>
      <c r="B108" s="3">
        <f>Cleaned_Prepared_Data!M101</f>
        <v>675177.68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f>Cleaned_Prepared_Data!E102</f>
        <v>53084.76</v>
      </c>
      <c r="B109" s="3">
        <f>Cleaned_Prepared_Data!M102</f>
        <v>635181.35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f>Cleaned_Prepared_Data!E103</f>
        <v>63101.59</v>
      </c>
      <c r="B110" s="3">
        <f>Cleaned_Prepared_Data!M103</f>
        <v>586626.94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f>Cleaned_Prepared_Data!E104</f>
        <v>90084.4</v>
      </c>
      <c r="B111" s="3">
        <f>Cleaned_Prepared_Data!M104</f>
        <v>740102.64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f>Cleaned_Prepared_Data!E105</f>
        <v>32266.64</v>
      </c>
      <c r="B112" s="3">
        <f>Cleaned_Prepared_Data!M105</f>
        <v>625514.04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f>Cleaned_Prepared_Data!E106</f>
        <v>57919.07</v>
      </c>
      <c r="B113" s="3">
        <f>Cleaned_Prepared_Data!M106</f>
        <v>727227.2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f>Cleaned_Prepared_Data!E107</f>
        <v>74679.35</v>
      </c>
      <c r="B114" s="3">
        <f>Cleaned_Prepared_Data!M107</f>
        <v>783797.89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f>Cleaned_Prepared_Data!E108</f>
        <v>64294.23</v>
      </c>
      <c r="B115" s="3">
        <f>Cleaned_Prepared_Data!M108</f>
        <v>795153.84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f>Cleaned_Prepared_Data!E109</f>
        <v>31042.03</v>
      </c>
      <c r="B116" s="3">
        <f>Cleaned_Prepared_Data!M109</f>
        <v>665594.94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f>Cleaned_Prepared_Data!E110</f>
        <v>75265.02</v>
      </c>
      <c r="B117" s="3">
        <f>Cleaned_Prepared_Data!M110</f>
        <v>709478.39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f>Cleaned_Prepared_Data!E111</f>
        <v>69411.7</v>
      </c>
      <c r="B118" s="3">
        <f>Cleaned_Prepared_Data!M111</f>
        <v>664162.49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f>Cleaned_Prepared_Data!E112</f>
        <v>51056.15</v>
      </c>
      <c r="B119" s="3">
        <f>Cleaned_Prepared_Data!M112</f>
        <v>633494.21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f>Cleaned_Prepared_Data!E113</f>
        <v>52758.01</v>
      </c>
      <c r="B120" s="3">
        <f>Cleaned_Prepared_Data!M113</f>
        <v>713611.16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f>Cleaned_Prepared_Data!E114</f>
        <v>61426.04</v>
      </c>
      <c r="B121" s="3">
        <f>Cleaned_Prepared_Data!M114</f>
        <v>778397.97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f>Cleaned_Prepared_Data!E115</f>
        <v>80176.34</v>
      </c>
      <c r="B122" s="3">
        <f>Cleaned_Prepared_Data!M115</f>
        <v>873380.02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f>Cleaned_Prepared_Data!E116</f>
        <v>33605.18</v>
      </c>
      <c r="B123" s="3">
        <f>Cleaned_Prepared_Data!M116</f>
        <v>697287.9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f>Cleaned_Prepared_Data!E117</f>
        <v>25990.54</v>
      </c>
      <c r="B124" s="3">
        <f>Cleaned_Prepared_Data!M117</f>
        <v>718074.79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f>Cleaned_Prepared_Data!E118</f>
        <v>43685.14</v>
      </c>
      <c r="B125" s="3">
        <f>Cleaned_Prepared_Data!M118</f>
        <v>714942.43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f>Cleaned_Prepared_Data!E119</f>
        <v>57360.01</v>
      </c>
      <c r="B126" s="3">
        <f>Cleaned_Prepared_Data!M119</f>
        <v>820519.04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f>Cleaned_Prepared_Data!E120</f>
        <v>42415.47</v>
      </c>
      <c r="B127" s="3">
        <f>Cleaned_Prepared_Data!M120</f>
        <v>684217.32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f>Cleaned_Prepared_Data!E121</f>
        <v>54968.98</v>
      </c>
      <c r="B128" s="3">
        <f>Cleaned_Prepared_Data!M121</f>
        <v>735480.19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f>Cleaned_Prepared_Data!E122</f>
        <v>43896.13</v>
      </c>
      <c r="B129" s="3">
        <f>Cleaned_Prepared_Data!M122</f>
        <v>509484.81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f>Cleaned_Prepared_Data!E123</f>
        <v>83044.17</v>
      </c>
      <c r="B130" s="3">
        <f>Cleaned_Prepared_Data!M123</f>
        <v>654317.09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f>Cleaned_Prepared_Data!E124</f>
        <v>48396.13</v>
      </c>
      <c r="B131" s="3">
        <f>Cleaned_Prepared_Data!M124</f>
        <v>557487.26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f>Cleaned_Prepared_Data!E125</f>
        <v>19063.48</v>
      </c>
      <c r="B132" s="3">
        <f>Cleaned_Prepared_Data!M125</f>
        <v>441275.42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f>Cleaned_Prepared_Data!E126</f>
        <v>61541.21</v>
      </c>
      <c r="B133" s="3">
        <f>Cleaned_Prepared_Data!M126</f>
        <v>914544.17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f>Cleaned_Prepared_Data!E127</f>
        <v>44747</v>
      </c>
      <c r="B134" s="3">
        <f>Cleaned_Prepared_Data!M127</f>
        <v>842439.67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f>Cleaned_Prepared_Data!E128</f>
        <v>56517.9</v>
      </c>
      <c r="B135" s="3">
        <f>Cleaned_Prepared_Data!M128</f>
        <v>842157.92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f>Cleaned_Prepared_Data!E129</f>
        <v>37828.5</v>
      </c>
      <c r="B136" s="3">
        <f>Cleaned_Prepared_Data!M129</f>
        <v>697155.3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f>Cleaned_Prepared_Data!E130</f>
        <v>66250.53</v>
      </c>
      <c r="B137" s="3">
        <f>Cleaned_Prepared_Data!M130</f>
        <v>849018.3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f>Cleaned_Prepared_Data!E131</f>
        <v>68410.93</v>
      </c>
      <c r="B138" s="3">
        <f>Cleaned_Prepared_Data!M131</f>
        <v>801830.35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f>Cleaned_Prepared_Data!E132</f>
        <v>50735.63</v>
      </c>
      <c r="B139" s="3">
        <f>Cleaned_Prepared_Data!M132</f>
        <v>725235.28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f>Cleaned_Prepared_Data!E133</f>
        <v>66455.8</v>
      </c>
      <c r="B140" s="3">
        <f>Cleaned_Prepared_Data!M133</f>
        <v>811452.72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f>Cleaned_Prepared_Data!E134</f>
        <v>70276.28</v>
      </c>
      <c r="B141" s="3">
        <f>Cleaned_Prepared_Data!M134</f>
        <v>527300.13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f>Cleaned_Prepared_Data!E135</f>
        <v>22071.64</v>
      </c>
      <c r="B142" s="3">
        <f>Cleaned_Prepared_Data!M135</f>
        <v>400831.65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f>Cleaned_Prepared_Data!E136</f>
        <v>52285.45</v>
      </c>
      <c r="B143" s="3">
        <f>Cleaned_Prepared_Data!M136</f>
        <v>593247.25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f>Cleaned_Prepared_Data!E137</f>
        <v>70366.76</v>
      </c>
      <c r="B144" s="3">
        <f>Cleaned_Prepared_Data!M137</f>
        <v>529075.95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f>Cleaned_Prepared_Data!E138</f>
        <v>71320.66</v>
      </c>
      <c r="B145" s="3">
        <f>Cleaned_Prepared_Data!M138</f>
        <v>633638.03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f>Cleaned_Prepared_Data!E139</f>
        <v>75109.67</v>
      </c>
      <c r="B146" s="3">
        <f>Cleaned_Prepared_Data!M139</f>
        <v>743348.84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f>Cleaned_Prepared_Data!E140</f>
        <v>69779</v>
      </c>
      <c r="B147" s="3">
        <f>Cleaned_Prepared_Data!M140</f>
        <v>758827.64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f>Cleaned_Prepared_Data!E141</f>
        <v>44211.95</v>
      </c>
      <c r="B148" s="3">
        <f>Cleaned_Prepared_Data!M141</f>
        <v>646559.71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f>Cleaned_Prepared_Data!E142</f>
        <v>51430.31</v>
      </c>
      <c r="B149" s="3">
        <f>Cleaned_Prepared_Data!M142</f>
        <v>715890.53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f>Cleaned_Prepared_Data!E143</f>
        <v>45706.49</v>
      </c>
      <c r="B150" s="3">
        <f>Cleaned_Prepared_Data!M143</f>
        <v>715097.57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f>Cleaned_Prepared_Data!E144</f>
        <v>44034.6</v>
      </c>
      <c r="B151" s="3">
        <f>Cleaned_Prepared_Data!M144</f>
        <v>682639.28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>
        <f>Cleaned_Prepared_Data!E145</f>
        <v>50198.12</v>
      </c>
      <c r="B152" s="3">
        <f>Cleaned_Prepared_Data!M145</f>
        <v>695098.51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>
        <f>Cleaned_Prepared_Data!E146</f>
        <v>70488.2</v>
      </c>
      <c r="B153" s="3">
        <f>Cleaned_Prepared_Data!M146</f>
        <v>577732.57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>
        <f>Cleaned_Prepared_Data!E147</f>
        <v>50909.27</v>
      </c>
      <c r="B154" s="3">
        <f>Cleaned_Prepared_Data!M147</f>
        <v>537058.33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>
        <f>Cleaned_Prepared_Data!E148</f>
        <v>53351.7</v>
      </c>
      <c r="B155" s="3">
        <f>Cleaned_Prepared_Data!M148</f>
        <v>601568.87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>
        <f>Cleaned_Prepared_Data!E149</f>
        <v>60322.4</v>
      </c>
      <c r="B156" s="3">
        <f>Cleaned_Prepared_Data!M149</f>
        <v>570964.84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>
        <f>Cleaned_Prepared_Data!E150</f>
        <v>51575.68</v>
      </c>
      <c r="B157" s="3">
        <f>Cleaned_Prepared_Data!M150</f>
        <v>614024.91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>
        <f>Cleaned_Prepared_Data!E151</f>
        <v>43319.94</v>
      </c>
      <c r="B158" s="3">
        <f>Cleaned_Prepared_Data!M151</f>
        <v>712868.35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>
        <f>Cleaned_Prepared_Data!E152</f>
        <v>47093.55</v>
      </c>
      <c r="B159" s="3">
        <f>Cleaned_Prepared_Data!M152</f>
        <v>696744.15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>
        <f>Cleaned_Prepared_Data!E153</f>
        <v>71855.09</v>
      </c>
      <c r="B160" s="3">
        <f>Cleaned_Prepared_Data!M153</f>
        <v>725847.99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>
        <f>Cleaned_Prepared_Data!E154</f>
        <v>75645.23</v>
      </c>
      <c r="B161" s="3">
        <f>Cleaned_Prepared_Data!M154</f>
        <v>785028.25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>
        <f>Cleaned_Prepared_Data!E155</f>
        <v>64374.75</v>
      </c>
      <c r="B162" s="3">
        <f>Cleaned_Prepared_Data!M155</f>
        <v>698492.67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>
        <f>Cleaned_Prepared_Data!E156</f>
        <v>61433.84</v>
      </c>
      <c r="B163" s="3">
        <f>Cleaned_Prepared_Data!M156</f>
        <v>685830.24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>
        <f>Cleaned_Prepared_Data!E157</f>
        <v>42698.14</v>
      </c>
      <c r="B164" s="3">
        <f>Cleaned_Prepared_Data!M157</f>
        <v>702318.94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>
        <f>Cleaned_Prepared_Data!E158</f>
        <v>86883.31</v>
      </c>
      <c r="B165" s="3">
        <f>Cleaned_Prepared_Data!M158</f>
        <v>700078.32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>
        <f>Cleaned_Prepared_Data!E159</f>
        <v>41863.08</v>
      </c>
      <c r="B166" s="3">
        <f>Cleaned_Prepared_Data!M159</f>
        <v>602002.32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>
        <f>Cleaned_Prepared_Data!E160</f>
        <v>56918.16</v>
      </c>
      <c r="B167" s="3">
        <f>Cleaned_Prepared_Data!M160</f>
        <v>724216.07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>
        <f>Cleaned_Prepared_Data!E161</f>
        <v>23254.57</v>
      </c>
      <c r="B168" s="3">
        <f>Cleaned_Prepared_Data!M161</f>
        <v>620973.03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>
        <f>Cleaned_Prepared_Data!E162</f>
        <v>41443.41</v>
      </c>
      <c r="B169" s="3">
        <f>Cleaned_Prepared_Data!M162</f>
        <v>650480.06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>
        <f>Cleaned_Prepared_Data!E163</f>
        <v>48438.85</v>
      </c>
      <c r="B170" s="3">
        <f>Cleaned_Prepared_Data!M163</f>
        <v>778298.88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>
        <f>Cleaned_Prepared_Data!E164</f>
        <v>57143.3</v>
      </c>
      <c r="B171" s="3">
        <f>Cleaned_Prepared_Data!M164</f>
        <v>677096.71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>
        <f>Cleaned_Prepared_Data!E165</f>
        <v>66870.62</v>
      </c>
      <c r="B172" s="3">
        <f>Cleaned_Prepared_Data!M165</f>
        <v>692008.64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>
        <f>Cleaned_Prepared_Data!E166</f>
        <v>72150.53</v>
      </c>
      <c r="B173" s="3">
        <f>Cleaned_Prepared_Data!M166</f>
        <v>825797.91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>
        <f>Cleaned_Prepared_Data!E167</f>
        <v>35303.3</v>
      </c>
      <c r="B174" s="3">
        <f>Cleaned_Prepared_Data!M167</f>
        <v>706285.52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>
        <f>Cleaned_Prepared_Data!E168</f>
        <v>30301.86</v>
      </c>
      <c r="B175" s="3">
        <f>Cleaned_Prepared_Data!M168</f>
        <v>665534.7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>
        <f>Cleaned_Prepared_Data!E169</f>
        <v>78432.14</v>
      </c>
      <c r="B176" s="3">
        <f>Cleaned_Prepared_Data!M169</f>
        <v>820729.29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>
        <f>Cleaned_Prepared_Data!E170</f>
        <v>62059.18</v>
      </c>
      <c r="B177" s="3">
        <f>Cleaned_Prepared_Data!M170</f>
        <v>739831.73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>
        <f>Cleaned_Prepared_Data!E171</f>
        <v>32834.48</v>
      </c>
      <c r="B178" s="3">
        <f>Cleaned_Prepared_Data!M171</f>
        <v>593637.14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>
        <f>Cleaned_Prepared_Data!E172</f>
        <v>50825.08</v>
      </c>
      <c r="B179" s="3">
        <f>Cleaned_Prepared_Data!M172</f>
        <v>769702.76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>
        <f>Cleaned_Prepared_Data!E173</f>
        <v>36606.51</v>
      </c>
      <c r="B180" s="3">
        <f>Cleaned_Prepared_Data!M173</f>
        <v>679731.57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>
        <f>Cleaned_Prepared_Data!E174</f>
        <v>65237.79</v>
      </c>
      <c r="B181" s="3">
        <f>Cleaned_Prepared_Data!M174</f>
        <v>780344.18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>
        <f>Cleaned_Prepared_Data!E175</f>
        <v>43645.98</v>
      </c>
      <c r="B182" s="3">
        <f>Cleaned_Prepared_Data!M175</f>
        <v>721364.11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>
        <f>Cleaned_Prepared_Data!E176</f>
        <v>68040.15</v>
      </c>
      <c r="B183" s="3">
        <f>Cleaned_Prepared_Data!M176</f>
        <v>758138.29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>
        <f>Cleaned_Prepared_Data!E177</f>
        <v>63043.94</v>
      </c>
      <c r="B184" s="3">
        <f>Cleaned_Prepared_Data!M177</f>
        <v>804264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>
        <f>Cleaned_Prepared_Data!E178</f>
        <v>67494.09</v>
      </c>
      <c r="B185" s="3">
        <f>Cleaned_Prepared_Data!M178</f>
        <v>887537.75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>
        <f>Cleaned_Prepared_Data!E179</f>
        <v>29389.32</v>
      </c>
      <c r="B186" s="3">
        <f>Cleaned_Prepared_Data!M179</f>
        <v>783582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>
        <f>Cleaned_Prepared_Data!E180</f>
        <v>40535.09</v>
      </c>
      <c r="B187" s="3">
        <f>Cleaned_Prepared_Data!M180</f>
        <v>781955.52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>
        <f>Cleaned_Prepared_Data!E181</f>
        <v>74881.56</v>
      </c>
      <c r="B188" s="3">
        <f>Cleaned_Prepared_Data!M181</f>
        <v>898031.04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>
        <f>Cleaned_Prepared_Data!E182</f>
        <v>68491.11</v>
      </c>
      <c r="B189" s="3">
        <f>Cleaned_Prepared_Data!M182</f>
        <v>855341.28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>
        <f>Cleaned_Prepared_Data!E183</f>
        <v>45209.25</v>
      </c>
      <c r="B190" s="3">
        <f>Cleaned_Prepared_Data!M183</f>
        <v>751393.88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>
        <f>Cleaned_Prepared_Data!E184</f>
        <v>63010.23</v>
      </c>
      <c r="B191" s="3">
        <f>Cleaned_Prepared_Data!M184</f>
        <v>761077.08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>
        <f>Cleaned_Prepared_Data!E185</f>
        <v>57948.88</v>
      </c>
      <c r="B192" s="3">
        <f>Cleaned_Prepared_Data!M185</f>
        <v>819660.59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>
        <f>Cleaned_Prepared_Data!E186</f>
        <v>71941.62</v>
      </c>
      <c r="B193" s="3">
        <f>Cleaned_Prepared_Data!M186</f>
        <v>681855.56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>
        <f>Cleaned_Prepared_Data!E187</f>
        <v>57147.88</v>
      </c>
      <c r="B194" s="3">
        <f>Cleaned_Prepared_Data!M187</f>
        <v>678311.17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>
        <f>Cleaned_Prepared_Data!E188</f>
        <v>48031.74</v>
      </c>
      <c r="B195" s="3">
        <f>Cleaned_Prepared_Data!M188</f>
        <v>765906.95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>
        <f>Cleaned_Prepared_Data!E189</f>
        <v>72784.8</v>
      </c>
      <c r="B196" s="3">
        <f>Cleaned_Prepared_Data!M189</f>
        <v>712546.38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>
        <f>Cleaned_Prepared_Data!E190</f>
        <v>71641.9</v>
      </c>
      <c r="B197" s="3">
        <f>Cleaned_Prepared_Data!M190</f>
        <v>625993.83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>
        <f>Cleaned_Prepared_Data!E191</f>
        <v>55788.61</v>
      </c>
      <c r="B198" s="3">
        <f>Cleaned_Prepared_Data!M191</f>
        <v>550962.93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>
        <f>Cleaned_Prepared_Data!E192</f>
        <v>37705.88</v>
      </c>
      <c r="B199" s="3">
        <f>Cleaned_Prepared_Data!M192</f>
        <v>443275.59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>
        <f>Cleaned_Prepared_Data!E193</f>
        <v>54966.18</v>
      </c>
      <c r="B200" s="3">
        <f>Cleaned_Prepared_Data!M193</f>
        <v>554012.07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>
        <f>Cleaned_Prepared_Data!E194</f>
        <v>81796.74</v>
      </c>
      <c r="B201" s="3">
        <f>Cleaned_Prepared_Data!M194</f>
        <v>643428.85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>
        <f>Cleaned_Prepared_Data!E195</f>
        <v>51133.43</v>
      </c>
      <c r="B202" s="3">
        <f>Cleaned_Prepared_Data!M195</f>
        <v>611924.27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>
        <f>Cleaned_Prepared_Data!E196</f>
        <v>40220.18</v>
      </c>
      <c r="B203" s="3">
        <f>Cleaned_Prepared_Data!M196</f>
        <v>559422.02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>
        <f>Cleaned_Prepared_Data!E197</f>
        <v>41657.64</v>
      </c>
      <c r="B204" s="3">
        <f>Cleaned_Prepared_Data!M197</f>
        <v>449465.06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>
        <f>Cleaned_Prepared_Data!E198</f>
        <v>71851.45</v>
      </c>
      <c r="B205" s="3">
        <f>Cleaned_Prepared_Data!M198</f>
        <v>691447.43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>
        <f>Cleaned_Prepared_Data!E199</f>
        <v>54002.83</v>
      </c>
      <c r="B206" s="3">
        <f>Cleaned_Prepared_Data!M199</f>
        <v>574066.61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>
        <f>Cleaned_Prepared_Data!E200</f>
        <v>54479.33</v>
      </c>
      <c r="B207" s="3">
        <f>Cleaned_Prepared_Data!M200</f>
        <v>578949.84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>
        <f>Cleaned_Prepared_Data!E201</f>
        <v>61391.8</v>
      </c>
      <c r="B208" s="3">
        <f>Cleaned_Prepared_Data!M201</f>
        <v>735786.64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>
        <f>Cleaned_Prepared_Data!E202</f>
        <v>22312.93</v>
      </c>
      <c r="B209" s="3">
        <f>Cleaned_Prepared_Data!M202</f>
        <v>598904.9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>
        <f>Cleaned_Prepared_Data!E203</f>
        <v>78111.97</v>
      </c>
      <c r="B210" s="3">
        <f>Cleaned_Prepared_Data!M203</f>
        <v>787715.51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>
        <f>Cleaned_Prepared_Data!E204</f>
        <v>35203.23</v>
      </c>
      <c r="B211" s="3">
        <f>Cleaned_Prepared_Data!M204</f>
        <v>607084.92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>
        <f>Cleaned_Prepared_Data!E205</f>
        <v>64104.28</v>
      </c>
      <c r="B212" s="3">
        <f>Cleaned_Prepared_Data!M205</f>
        <v>650795.49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>
        <f>Cleaned_Prepared_Data!E206</f>
        <v>92090.14</v>
      </c>
      <c r="B213" s="3">
        <f>Cleaned_Prepared_Data!M206</f>
        <v>825060.52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>
        <f>Cleaned_Prepared_Data!E207</f>
        <v>54300.87</v>
      </c>
      <c r="B214" s="3">
        <f>Cleaned_Prepared_Data!M207</f>
        <v>795464.47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>
        <f>Cleaned_Prepared_Data!E208</f>
        <v>37983.35</v>
      </c>
      <c r="B215" s="3">
        <f>Cleaned_Prepared_Data!M208</f>
        <v>671868.59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>
        <f>Cleaned_Prepared_Data!E209</f>
        <v>56413.83</v>
      </c>
      <c r="B216" s="3">
        <f>Cleaned_Prepared_Data!M209</f>
        <v>675917.63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>
        <f>Cleaned_Prepared_Data!E210</f>
        <v>63457.19</v>
      </c>
      <c r="B217" s="3">
        <f>Cleaned_Prepared_Data!M210</f>
        <v>810446.53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>
        <f>Cleaned_Prepared_Data!E211</f>
        <v>62949.7</v>
      </c>
      <c r="B218" s="3">
        <f>Cleaned_Prepared_Data!M211</f>
        <v>691288.19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>
        <f>Cleaned_Prepared_Data!E212</f>
        <v>107970.19</v>
      </c>
      <c r="B219" s="3">
        <f>Cleaned_Prepared_Data!M212</f>
        <v>946833.54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>
        <f>Cleaned_Prepared_Data!E213</f>
        <v>49405.75</v>
      </c>
      <c r="B220" s="3">
        <f>Cleaned_Prepared_Data!M213</f>
        <v>761963.23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>
        <f>Cleaned_Prepared_Data!E214</f>
        <v>50887.46</v>
      </c>
      <c r="B221" s="3">
        <f>Cleaned_Prepared_Data!M214</f>
        <v>812152.6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>
        <f>Cleaned_Prepared_Data!E215</f>
        <v>41819.45</v>
      </c>
      <c r="B222" s="3">
        <f>Cleaned_Prepared_Data!M215</f>
        <v>804975.5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>
        <f>Cleaned_Prepared_Data!E216</f>
        <v>35296.54</v>
      </c>
      <c r="B223" s="3">
        <f>Cleaned_Prepared_Data!M216</f>
        <v>752321.72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>
        <f>Cleaned_Prepared_Data!E217</f>
        <v>47391.09</v>
      </c>
      <c r="B224" s="3">
        <f>Cleaned_Prepared_Data!M217</f>
        <v>836908.24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>
        <f>Cleaned_Prepared_Data!E218</f>
        <v>69180.54</v>
      </c>
      <c r="B225" s="3">
        <f>Cleaned_Prepared_Data!M218</f>
        <v>674289.1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>
        <f>Cleaned_Prepared_Data!E219</f>
        <v>33987.33</v>
      </c>
      <c r="B226" s="3">
        <f>Cleaned_Prepared_Data!M219</f>
        <v>622892.42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>
        <f>Cleaned_Prepared_Data!E220</f>
        <v>58785.33</v>
      </c>
      <c r="B227" s="3">
        <f>Cleaned_Prepared_Data!M220</f>
        <v>673348.56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>
        <f>Cleaned_Prepared_Data!E221</f>
        <v>16451.85</v>
      </c>
      <c r="B228" s="3">
        <f>Cleaned_Prepared_Data!M221</f>
        <v>606278.3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>
        <f>Cleaned_Prepared_Data!E222</f>
        <v>53367.73</v>
      </c>
      <c r="B229" s="3">
        <f>Cleaned_Prepared_Data!M222</f>
        <v>712219.81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>
        <f>Cleaned_Prepared_Data!E223</f>
        <v>27194.64</v>
      </c>
      <c r="B230" s="3">
        <f>Cleaned_Prepared_Data!M223</f>
        <v>672670.54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>
        <f>Cleaned_Prepared_Data!E224</f>
        <v>66962.74</v>
      </c>
      <c r="B231" s="3">
        <f>Cleaned_Prepared_Data!M224</f>
        <v>732667.92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>
        <f>Cleaned_Prepared_Data!E225</f>
        <v>73540.99</v>
      </c>
      <c r="B232" s="3">
        <f>Cleaned_Prepared_Data!M225</f>
        <v>723531.4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>
        <f>Cleaned_Prepared_Data!E226</f>
        <v>68212.29</v>
      </c>
      <c r="B233" s="3">
        <f>Cleaned_Prepared_Data!M226</f>
        <v>641564.6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>
        <f>Cleaned_Prepared_Data!E227</f>
        <v>57225.98</v>
      </c>
      <c r="B234" s="3">
        <f>Cleaned_Prepared_Data!M227</f>
        <v>536545.49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>
        <f>Cleaned_Prepared_Data!E228</f>
        <v>42932.02</v>
      </c>
      <c r="B235" s="3">
        <f>Cleaned_Prepared_Data!M228</f>
        <v>527681.56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>
        <f>Cleaned_Prepared_Data!E229</f>
        <v>39341.45</v>
      </c>
      <c r="B236" s="3">
        <f>Cleaned_Prepared_Data!M229</f>
        <v>529598.94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>
        <f>Cleaned_Prepared_Data!E230</f>
        <v>37324.23</v>
      </c>
      <c r="B237" s="3">
        <f>Cleaned_Prepared_Data!M230</f>
        <v>570963.31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>
        <f>Cleaned_Prepared_Data!E231</f>
        <v>113736</v>
      </c>
      <c r="B238" s="3">
        <f>Cleaned_Prepared_Data!M231</f>
        <v>870937.4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>
        <f>Cleaned_Prepared_Data!E232</f>
        <v>33173.95</v>
      </c>
      <c r="B239" s="3">
        <f>Cleaned_Prepared_Data!M232</f>
        <v>596969.27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>
        <f>Cleaned_Prepared_Data!E233</f>
        <v>25818.08</v>
      </c>
      <c r="B240" s="3">
        <f>Cleaned_Prepared_Data!M233</f>
        <v>647512.85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>
        <f>Cleaned_Prepared_Data!E234</f>
        <v>47241.92</v>
      </c>
      <c r="B241" s="3">
        <f>Cleaned_Prepared_Data!M234</f>
        <v>658072.14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>
        <f>Cleaned_Prepared_Data!E235</f>
        <v>61650.79</v>
      </c>
      <c r="B242" s="3">
        <f>Cleaned_Prepared_Data!M235</f>
        <v>723305.11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>
        <f>Cleaned_Prepared_Data!E236</f>
        <v>62582.71</v>
      </c>
      <c r="B243" s="3">
        <f>Cleaned_Prepared_Data!M236</f>
        <v>640666.53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>
        <f>Cleaned_Prepared_Data!E237</f>
        <v>47944.14</v>
      </c>
      <c r="B244" s="3">
        <f>Cleaned_Prepared_Data!M237</f>
        <v>670629.48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>
        <f>Cleaned_Prepared_Data!E238</f>
        <v>46495.4</v>
      </c>
      <c r="B245" s="3">
        <f>Cleaned_Prepared_Data!M238</f>
        <v>721079.35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>
        <f>Cleaned_Prepared_Data!E239</f>
        <v>72961.95</v>
      </c>
      <c r="B246" s="3">
        <f>Cleaned_Prepared_Data!M239</f>
        <v>810355.02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>
        <f>Cleaned_Prepared_Data!E240</f>
        <v>59060.05</v>
      </c>
      <c r="B247" s="3">
        <f>Cleaned_Prepared_Data!M240</f>
        <v>761919.25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>
        <f>Cleaned_Prepared_Data!E241</f>
        <v>26248.1</v>
      </c>
      <c r="B248" s="3">
        <f>Cleaned_Prepared_Data!M241</f>
        <v>737070.18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>
        <f>Cleaned_Prepared_Data!E242</f>
        <v>69900.12</v>
      </c>
      <c r="B249" s="3">
        <f>Cleaned_Prepared_Data!M242</f>
        <v>776992.93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>
        <f>Cleaned_Prepared_Data!E243</f>
        <v>51781.6</v>
      </c>
      <c r="B250" s="3">
        <f>Cleaned_Prepared_Data!M243</f>
        <v>676337.41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>
        <f>Cleaned_Prepared_Data!E244</f>
        <v>70799.64</v>
      </c>
      <c r="B251" s="3">
        <f>Cleaned_Prepared_Data!M244</f>
        <v>828219.67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>
        <f>Cleaned_Prepared_Data!E245</f>
        <v>53546.34</v>
      </c>
      <c r="B252" s="3">
        <f>Cleaned_Prepared_Data!M245</f>
        <v>763159.92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>
        <f>Cleaned_Prepared_Data!E246</f>
        <v>76942.2</v>
      </c>
      <c r="B253" s="3">
        <f>Cleaned_Prepared_Data!M246</f>
        <v>802001.68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>
        <f>Cleaned_Prepared_Data!E247</f>
        <v>48060.78</v>
      </c>
      <c r="B254" s="3">
        <f>Cleaned_Prepared_Data!M247</f>
        <v>750471.34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>
        <f>Cleaned_Prepared_Data!E248</f>
        <v>57390.04</v>
      </c>
      <c r="B255" s="3">
        <f>Cleaned_Prepared_Data!M248</f>
        <v>679230.86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>
        <f>Cleaned_Prepared_Data!E249</f>
        <v>21536.18</v>
      </c>
      <c r="B256" s="3">
        <f>Cleaned_Prepared_Data!M249</f>
        <v>679888.74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>
        <f>Cleaned_Prepared_Data!E250</f>
        <v>40923.67</v>
      </c>
      <c r="B257" s="3">
        <f>Cleaned_Prepared_Data!M250</f>
        <v>606783.67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>
        <f>Cleaned_Prepared_Data!E251</f>
        <v>72932.55</v>
      </c>
      <c r="B258" s="3">
        <f>Cleaned_Prepared_Data!M251</f>
        <v>642751.42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>
        <f>Cleaned_Prepared_Data!E252</f>
        <v>38361.93</v>
      </c>
      <c r="B259" s="3">
        <f>Cleaned_Prepared_Data!M252</f>
        <v>647953.78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>
        <f>Cleaned_Prepared_Data!E253</f>
        <v>97480.94</v>
      </c>
      <c r="B260" s="3">
        <f>Cleaned_Prepared_Data!M253</f>
        <v>729440.45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>
        <f>Cleaned_Prepared_Data!E254</f>
        <v>81801.8</v>
      </c>
      <c r="B261" s="3">
        <f>Cleaned_Prepared_Data!M254</f>
        <v>764949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>
        <f>Cleaned_Prepared_Data!E255</f>
        <v>63582.11</v>
      </c>
      <c r="B262" s="3">
        <f>Cleaned_Prepared_Data!M255</f>
        <v>799046.94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>
        <f>Cleaned_Prepared_Data!E256</f>
        <v>75412.74</v>
      </c>
      <c r="B263" s="3">
        <f>Cleaned_Prepared_Data!M256</f>
        <v>720079.54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>
        <f>Cleaned_Prepared_Data!E257</f>
        <v>36290.08</v>
      </c>
      <c r="B264" s="3">
        <f>Cleaned_Prepared_Data!M257</f>
        <v>612390.14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>
        <f>Cleaned_Prepared_Data!E258</f>
        <v>65272.58</v>
      </c>
      <c r="B265" s="3">
        <f>Cleaned_Prepared_Data!M258</f>
        <v>840108.12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>
        <f>Cleaned_Prepared_Data!E259</f>
        <v>28670.43</v>
      </c>
      <c r="B266" s="3">
        <f>Cleaned_Prepared_Data!M259</f>
        <v>697888.09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>
        <f>Cleaned_Prepared_Data!E260</f>
        <v>44189.34</v>
      </c>
      <c r="B267" s="3">
        <f>Cleaned_Prepared_Data!M260</f>
        <v>746115.59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>
        <f>Cleaned_Prepared_Data!E261</f>
        <v>38397.82</v>
      </c>
      <c r="B268" s="3">
        <f>Cleaned_Prepared_Data!M261</f>
        <v>776110.32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>
        <f>Cleaned_Prepared_Data!E262</f>
        <v>14519.37</v>
      </c>
      <c r="B269" s="3">
        <f>Cleaned_Prepared_Data!M262</f>
        <v>528852.62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>
        <f>Cleaned_Prepared_Data!E263</f>
        <v>43288.2</v>
      </c>
      <c r="B270" s="3">
        <f>Cleaned_Prepared_Data!M263</f>
        <v>605751.33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>
        <f>Cleaned_Prepared_Data!E264</f>
        <v>51450.55</v>
      </c>
      <c r="B271" s="3">
        <f>Cleaned_Prepared_Data!M264</f>
        <v>677640.65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>
        <f>Cleaned_Prepared_Data!E265</f>
        <v>58688.26</v>
      </c>
      <c r="B272" s="3">
        <f>Cleaned_Prepared_Data!M265</f>
        <v>636613.23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>
        <f>Cleaned_Prepared_Data!E266</f>
        <v>58981.91</v>
      </c>
      <c r="B273" s="3">
        <f>Cleaned_Prepared_Data!M266</f>
        <v>708985.19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>
        <f>Cleaned_Prepared_Data!E267</f>
        <v>73454.54</v>
      </c>
      <c r="B274" s="3">
        <f>Cleaned_Prepared_Data!M267</f>
        <v>767792.94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>
        <f>Cleaned_Prepared_Data!E268</f>
        <v>56602.39</v>
      </c>
      <c r="B275" s="3">
        <f>Cleaned_Prepared_Data!M268</f>
        <v>745580.51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>
        <f>Cleaned_Prepared_Data!E269</f>
        <v>67722.29</v>
      </c>
      <c r="B276" s="3">
        <f>Cleaned_Prepared_Data!M269</f>
        <v>762328.31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>
        <f>Cleaned_Prepared_Data!E270</f>
        <v>48752.92</v>
      </c>
      <c r="B277" s="3">
        <f>Cleaned_Prepared_Data!M270</f>
        <v>660633.99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>
        <f>Cleaned_Prepared_Data!E271</f>
        <v>23914.97</v>
      </c>
      <c r="B278" s="3">
        <f>Cleaned_Prepared_Data!M271</f>
        <v>739374.56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>
        <f>Cleaned_Prepared_Data!E272</f>
        <v>61995.3</v>
      </c>
      <c r="B279" s="3">
        <f>Cleaned_Prepared_Data!M272</f>
        <v>799756.46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>
        <f>Cleaned_Prepared_Data!E273</f>
        <v>29344.93</v>
      </c>
      <c r="B280" s="3">
        <f>Cleaned_Prepared_Data!M273</f>
        <v>593343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>
        <f>Cleaned_Prepared_Data!E274</f>
        <v>50532.17</v>
      </c>
      <c r="B281" s="3">
        <f>Cleaned_Prepared_Data!M274</f>
        <v>645039.97</v>
      </c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>
        <f>Cleaned_Prepared_Data!E275</f>
        <v>17562.57</v>
      </c>
      <c r="B282" s="3">
        <f>Cleaned_Prepared_Data!M275</f>
        <v>561597.33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>
        <f>Cleaned_Prepared_Data!E276</f>
        <v>47648.71</v>
      </c>
      <c r="B283" s="3">
        <f>Cleaned_Prepared_Data!M276</f>
        <v>635837.74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>
        <f>Cleaned_Prepared_Data!E277</f>
        <v>38297.58</v>
      </c>
      <c r="B284" s="3">
        <f>Cleaned_Prepared_Data!M277</f>
        <v>686737.87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>
        <f>Cleaned_Prepared_Data!E278</f>
        <v>61784.11</v>
      </c>
      <c r="B285" s="3">
        <f>Cleaned_Prepared_Data!M278</f>
        <v>673076.34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>
        <f>Cleaned_Prepared_Data!E279</f>
        <v>36832.33</v>
      </c>
      <c r="B286" s="3">
        <f>Cleaned_Prepared_Data!M279</f>
        <v>738548.42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>
        <f>Cleaned_Prepared_Data!E280</f>
        <v>48609.41</v>
      </c>
      <c r="B287" s="3">
        <f>Cleaned_Prepared_Data!M280</f>
        <v>756619.77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>
        <f>Cleaned_Prepared_Data!E281</f>
        <v>70284.06</v>
      </c>
      <c r="B288" s="3">
        <f>Cleaned_Prepared_Data!M281</f>
        <v>761122.42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>
        <f>Cleaned_Prepared_Data!E282</f>
        <v>45940.39</v>
      </c>
      <c r="B289" s="3">
        <f>Cleaned_Prepared_Data!M282</f>
        <v>524899.57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>
        <f>Cleaned_Prepared_Data!E283</f>
        <v>34771.26</v>
      </c>
      <c r="B290" s="3">
        <f>Cleaned_Prepared_Data!M283</f>
        <v>555557.77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>
        <f>Cleaned_Prepared_Data!E284</f>
        <v>66104.19</v>
      </c>
      <c r="B291" s="3">
        <f>Cleaned_Prepared_Data!M284</f>
        <v>714083.68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>
        <f>Cleaned_Prepared_Data!E285</f>
        <v>18599.21</v>
      </c>
      <c r="B292" s="3">
        <f>Cleaned_Prepared_Data!M285</f>
        <v>497439.82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>
        <f>Cleaned_Prepared_Data!E286</f>
        <v>60183.06</v>
      </c>
      <c r="B293" s="3">
        <f>Cleaned_Prepared_Data!M286</f>
        <v>636775.66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>
        <f>Cleaned_Prepared_Data!E287</f>
        <v>74539.14</v>
      </c>
      <c r="B294" s="3">
        <f>Cleaned_Prepared_Data!M287</f>
        <v>633009.53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>
        <f>Cleaned_Prepared_Data!E288</f>
        <v>55371.97</v>
      </c>
      <c r="B295" s="3">
        <f>Cleaned_Prepared_Data!M288</f>
        <v>609949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>
        <f>Cleaned_Prepared_Data!E289</f>
        <v>40928.69</v>
      </c>
      <c r="B296" s="3">
        <f>Cleaned_Prepared_Data!M289</f>
        <v>548103.7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>
        <f>Cleaned_Prepared_Data!E290</f>
        <v>70012.41</v>
      </c>
      <c r="B297" s="3">
        <f>Cleaned_Prepared_Data!M290</f>
        <v>729424.42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>
        <f>Cleaned_Prepared_Data!E291</f>
        <v>68909.26</v>
      </c>
      <c r="B298" s="3">
        <f>Cleaned_Prepared_Data!M291</f>
        <v>696261.49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>
        <f>Cleaned_Prepared_Data!E292</f>
        <v>56737.3</v>
      </c>
      <c r="B299" s="3">
        <f>Cleaned_Prepared_Data!M292</f>
        <v>813316.71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>
        <f>Cleaned_Prepared_Data!E293</f>
        <v>54080.91</v>
      </c>
      <c r="B300" s="3">
        <f>Cleaned_Prepared_Data!M293</f>
        <v>702068.92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>
        <f>Cleaned_Prepared_Data!E294</f>
        <v>51996.32</v>
      </c>
      <c r="B301" s="3">
        <f>Cleaned_Prepared_Data!M294</f>
        <v>546223.7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>
        <f>Cleaned_Prepared_Data!E295</f>
        <v>40102.88</v>
      </c>
      <c r="B302" s="3">
        <f>Cleaned_Prepared_Data!M295</f>
        <v>533121.26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>
        <f>Cleaned_Prepared_Data!E296</f>
        <v>59825.51</v>
      </c>
      <c r="B303" s="3">
        <f>Cleaned_Prepared_Data!M296</f>
        <v>498970.32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>
        <f>Cleaned_Prepared_Data!E297</f>
        <v>27398.28</v>
      </c>
      <c r="B304" s="3">
        <f>Cleaned_Prepared_Data!M297</f>
        <v>487738.26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>
        <f>Cleaned_Prepared_Data!E298</f>
        <v>55599.56</v>
      </c>
      <c r="B305" s="3">
        <f>Cleaned_Prepared_Data!M298</f>
        <v>668459.37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>
        <f>Cleaned_Prepared_Data!E299</f>
        <v>55477.61</v>
      </c>
      <c r="B306" s="3">
        <f>Cleaned_Prepared_Data!M299</f>
        <v>763162.45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>
        <f>Cleaned_Prepared_Data!E300</f>
        <v>46174.7</v>
      </c>
      <c r="B307" s="3">
        <f>Cleaned_Prepared_Data!M300</f>
        <v>599017.33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>
        <f>Cleaned_Prepared_Data!E301</f>
        <v>24362.98</v>
      </c>
      <c r="B308" s="3">
        <f>Cleaned_Prepared_Data!M301</f>
        <v>401582.58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>
        <f>Cleaned_Prepared_Data!E302</f>
        <v>40647.67</v>
      </c>
      <c r="B309" s="3">
        <f>Cleaned_Prepared_Data!M302</f>
        <v>703812.99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>
        <f>Cleaned_Prepared_Data!E303</f>
        <v>63986.98</v>
      </c>
      <c r="B310" s="3">
        <f>Cleaned_Prepared_Data!M303</f>
        <v>724346.73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>
        <f>Cleaned_Prepared_Data!E304</f>
        <v>52843.75</v>
      </c>
      <c r="B311" s="3">
        <f>Cleaned_Prepared_Data!M304</f>
        <v>730890.01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>
        <f>Cleaned_Prepared_Data!E305</f>
        <v>31997.25</v>
      </c>
      <c r="B312" s="3">
        <f>Cleaned_Prepared_Data!M305</f>
        <v>780580.95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>
        <f>Cleaned_Prepared_Data!E306</f>
        <v>54948.02</v>
      </c>
      <c r="B313" s="3">
        <f>Cleaned_Prepared_Data!M306</f>
        <v>727957.48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>
        <f>Cleaned_Prepared_Data!E307</f>
        <v>46146.24</v>
      </c>
      <c r="B314" s="3">
        <f>Cleaned_Prepared_Data!M307</f>
        <v>538376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>
        <f>Cleaned_Prepared_Data!E308</f>
        <v>22387.26</v>
      </c>
      <c r="B315" s="3">
        <f>Cleaned_Prepared_Data!M308</f>
        <v>665342.49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>
        <f>Cleaned_Prepared_Data!E309</f>
        <v>60684.05</v>
      </c>
      <c r="B316" s="3">
        <f>Cleaned_Prepared_Data!M309</f>
        <v>651164.18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>
        <f>Cleaned_Prepared_Data!E310</f>
        <v>48465.6</v>
      </c>
      <c r="B317" s="3">
        <f>Cleaned_Prepared_Data!M310</f>
        <v>628538.3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>
        <f>Cleaned_Prepared_Data!E311</f>
        <v>23702.38</v>
      </c>
      <c r="B318" s="3">
        <f>Cleaned_Prepared_Data!M311</f>
        <v>536524.84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>
        <f>Cleaned_Prepared_Data!E312</f>
        <v>54322.94</v>
      </c>
      <c r="B319" s="3">
        <f>Cleaned_Prepared_Data!M312</f>
        <v>621677.3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>
        <f>Cleaned_Prepared_Data!E313</f>
        <v>86026.58</v>
      </c>
      <c r="B320" s="3">
        <f>Cleaned_Prepared_Data!M313</f>
        <v>771129.07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>
        <f>Cleaned_Prepared_Data!E314</f>
        <v>78967.52</v>
      </c>
      <c r="B321" s="3">
        <f>Cleaned_Prepared_Data!M314</f>
        <v>702052.47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>
        <f>Cleaned_Prepared_Data!E315</f>
        <v>46767.99</v>
      </c>
      <c r="B322" s="3">
        <f>Cleaned_Prepared_Data!M315</f>
        <v>688368.46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>
        <f>Cleaned_Prepared_Data!E316</f>
        <v>62507.16</v>
      </c>
      <c r="B323" s="3">
        <f>Cleaned_Prepared_Data!M316</f>
        <v>712375.77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>
        <f>Cleaned_Prepared_Data!E317</f>
        <v>66456.28</v>
      </c>
      <c r="B324" s="3">
        <f>Cleaned_Prepared_Data!M317</f>
        <v>844710.67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>
        <f>Cleaned_Prepared_Data!E318</f>
        <v>76614.32</v>
      </c>
      <c r="B325" s="3">
        <f>Cleaned_Prepared_Data!M318</f>
        <v>620264.2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>
        <f>Cleaned_Prepared_Data!E319</f>
        <v>24088.06</v>
      </c>
      <c r="B326" s="3">
        <f>Cleaned_Prepared_Data!M319</f>
        <v>536845.42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>
        <f>Cleaned_Prepared_Data!E320</f>
        <v>81902.58</v>
      </c>
      <c r="B327" s="3">
        <f>Cleaned_Prepared_Data!M320</f>
        <v>726776.22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">
        <f>Cleaned_Prepared_Data!E321</f>
        <v>40553.11</v>
      </c>
      <c r="B328" s="3">
        <f>Cleaned_Prepared_Data!M321</f>
        <v>559660.84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8" t="s">
        <v>122</v>
      </c>
      <c r="B342" s="18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" t="s">
        <v>114</v>
      </c>
      <c r="B344" s="3" t="s">
        <v>12</v>
      </c>
      <c r="C344" s="5"/>
      <c r="D344" s="19" t="s">
        <v>110</v>
      </c>
      <c r="E344" s="3">
        <f>SLOPE(B348:B667,A348:A667)</f>
        <v>35.67803107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" t="s">
        <v>112</v>
      </c>
      <c r="B345" s="3" t="s">
        <v>5</v>
      </c>
      <c r="C345" s="5"/>
      <c r="D345" s="19" t="s">
        <v>111</v>
      </c>
      <c r="E345" s="3">
        <f>INTERCEPT(B348:B667,A348:A667)</f>
        <v>446410.5829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19" t="s">
        <v>113</v>
      </c>
      <c r="E346" s="3">
        <f>RSQ(B348:B667,A348:A667)</f>
        <v>0.73628534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20" t="s">
        <v>5</v>
      </c>
      <c r="B347" s="20" t="s">
        <v>12</v>
      </c>
      <c r="C347" s="5"/>
      <c r="D347" s="19" t="s">
        <v>123</v>
      </c>
      <c r="E347" s="21" t="str">
        <f>"monthly_sales = "&amp;ROUND(E344,4)&amp;" + ("&amp;ROUND(E343,4)&amp;" × footfall)"</f>
        <v>monthly_sales = 35.678 + (0 × footfall)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">
        <f>Cleaned_Prepared_Data!F2</f>
        <v>8302</v>
      </c>
      <c r="B348" s="3">
        <f>Cleaned_Prepared_Data!M2</f>
        <v>658832.62</v>
      </c>
      <c r="C348" s="5"/>
      <c r="D348" s="19" t="s">
        <v>116</v>
      </c>
      <c r="E348" s="15">
        <f>_xlfn.F.DIST.RT(E357,1,F357)</f>
        <v>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">
        <f>Cleaned_Prepared_Data!F3</f>
        <v>8487</v>
      </c>
      <c r="B349" s="3">
        <f>Cleaned_Prepared_Data!M3</f>
        <v>634436</v>
      </c>
      <c r="C349" s="5"/>
      <c r="D349" s="19" t="s">
        <v>117</v>
      </c>
      <c r="E349" s="3" t="s">
        <v>124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">
        <f>Cleaned_Prepared_Data!F4</f>
        <v>9113</v>
      </c>
      <c r="B350" s="3">
        <f>Cleaned_Prepared_Data!M4</f>
        <v>678722.06</v>
      </c>
      <c r="C350" s="5"/>
      <c r="D350" s="19" t="s">
        <v>119</v>
      </c>
      <c r="E350" s="3" t="str">
        <f>IF(E347&lt;0.05,"Yes","No")</f>
        <v>No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">
        <f>Cleaned_Prepared_Data!F5</f>
        <v>9431</v>
      </c>
      <c r="B351" s="3">
        <f>Cleaned_Prepared_Data!M5</f>
        <v>658920.3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">
        <f>Cleaned_Prepared_Data!F6</f>
        <v>9545</v>
      </c>
      <c r="B352" s="3">
        <f>Cleaned_Prepared_Data!M6</f>
        <v>741341.44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">
        <f>Cleaned_Prepared_Data!F7</f>
        <v>9792</v>
      </c>
      <c r="B353" s="3">
        <f>Cleaned_Prepared_Data!M7</f>
        <v>761835.34</v>
      </c>
      <c r="C353" s="5"/>
      <c r="D353" s="5"/>
      <c r="E353" s="22" t="s">
        <v>120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">
        <f>Cleaned_Prepared_Data!F8</f>
        <v>10616</v>
      </c>
      <c r="B354" s="3">
        <f>Cleaned_Prepared_Data!M8</f>
        <v>806615.54</v>
      </c>
      <c r="C354" s="5"/>
      <c r="D354" s="5"/>
      <c r="E354" s="3">
        <f t="array" ref="E354:F358">LINEST(B348:B667,A348:A667,TRUE,TRUE)</f>
        <v>35.67803107</v>
      </c>
      <c r="F354" s="3">
        <v>446410.5829339538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">
        <f>Cleaned_Prepared_Data!F9</f>
        <v>8567</v>
      </c>
      <c r="B355" s="3">
        <f>Cleaned_Prepared_Data!M9</f>
        <v>850164.26</v>
      </c>
      <c r="C355" s="5"/>
      <c r="D355" s="5"/>
      <c r="E355" s="3">
        <v>1.197378289034082</v>
      </c>
      <c r="F355" s="3">
        <v>8407.738263005993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">
        <f>Cleaned_Prepared_Data!F10</f>
        <v>10979</v>
      </c>
      <c r="B356" s="3">
        <f>Cleaned_Prepared_Data!M10</f>
        <v>930581.7</v>
      </c>
      <c r="C356" s="5"/>
      <c r="D356" s="5"/>
      <c r="E356" s="3">
        <v>0.7362853400033109</v>
      </c>
      <c r="F356" s="3">
        <v>53373.736380790506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">
        <f>Cleaned_Prepared_Data!F11</f>
        <v>9459</v>
      </c>
      <c r="B357" s="3">
        <f>Cleaned_Prepared_Data!M11</f>
        <v>779010.94</v>
      </c>
      <c r="C357" s="5"/>
      <c r="D357" s="5"/>
      <c r="E357" s="3">
        <v>887.8487761127592</v>
      </c>
      <c r="F357" s="3">
        <v>318.0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">
        <f>Cleaned_Prepared_Data!F12</f>
        <v>9172</v>
      </c>
      <c r="B358" s="3">
        <f>Cleaned_Prepared_Data!M12</f>
        <v>723060.76</v>
      </c>
      <c r="C358" s="5"/>
      <c r="D358" s="5"/>
      <c r="E358" s="3">
        <v>2.529264292982471E12</v>
      </c>
      <c r="F358" s="3">
        <v>9.059043238082661E11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">
        <f>Cleaned_Prepared_Data!F13</f>
        <v>11230</v>
      </c>
      <c r="B359" s="3">
        <f>Cleaned_Prepared_Data!M13</f>
        <v>910791.94</v>
      </c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">
        <f>Cleaned_Prepared_Data!F14</f>
        <v>12775</v>
      </c>
      <c r="B360" s="3">
        <f>Cleaned_Prepared_Data!M14</f>
        <v>922168.6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">
        <f>Cleaned_Prepared_Data!F15</f>
        <v>10054</v>
      </c>
      <c r="B361" s="3">
        <f>Cleaned_Prepared_Data!M15</f>
        <v>726606.28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">
        <f>Cleaned_Prepared_Data!F16</f>
        <v>8895</v>
      </c>
      <c r="B362" s="3">
        <f>Cleaned_Prepared_Data!M16</f>
        <v>746501.09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">
        <f>Cleaned_Prepared_Data!F17</f>
        <v>10940</v>
      </c>
      <c r="B363" s="3">
        <f>Cleaned_Prepared_Data!M17</f>
        <v>834017.02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">
        <f>Cleaned_Prepared_Data!F18</f>
        <v>7057</v>
      </c>
      <c r="B364" s="3">
        <f>Cleaned_Prepared_Data!M18</f>
        <v>666152.52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">
        <f>Cleaned_Prepared_Data!F19</f>
        <v>4263</v>
      </c>
      <c r="B365" s="3">
        <f>Cleaned_Prepared_Data!M19</f>
        <v>573155.19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">
        <f>Cleaned_Prepared_Data!F20</f>
        <v>5538</v>
      </c>
      <c r="B366" s="3">
        <f>Cleaned_Prepared_Data!M20</f>
        <v>666573.2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">
        <f>Cleaned_Prepared_Data!F21</f>
        <v>4865</v>
      </c>
      <c r="B367" s="3">
        <f>Cleaned_Prepared_Data!M21</f>
        <v>591619.95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">
        <f>Cleaned_Prepared_Data!F22</f>
        <v>2822</v>
      </c>
      <c r="B368" s="3">
        <f>Cleaned_Prepared_Data!M22</f>
        <v>415721.82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">
        <f>Cleaned_Prepared_Data!F23</f>
        <v>2121</v>
      </c>
      <c r="B369" s="3">
        <f>Cleaned_Prepared_Data!M23</f>
        <v>491905.13</v>
      </c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">
        <f>Cleaned_Prepared_Data!F24</f>
        <v>3364</v>
      </c>
      <c r="B370" s="3">
        <f>Cleaned_Prepared_Data!M24</f>
        <v>555929.4</v>
      </c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">
        <f>Cleaned_Prepared_Data!F25</f>
        <v>2613</v>
      </c>
      <c r="B371" s="3">
        <f>Cleaned_Prepared_Data!M25</f>
        <v>565810.99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">
        <f>Cleaned_Prepared_Data!F26</f>
        <v>10218</v>
      </c>
      <c r="B372" s="3">
        <f>Cleaned_Prepared_Data!M26</f>
        <v>811771.14</v>
      </c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">
        <f>Cleaned_Prepared_Data!F27</f>
        <v>8927</v>
      </c>
      <c r="B373" s="3">
        <f>Cleaned_Prepared_Data!M27</f>
        <v>800451.94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">
        <f>Cleaned_Prepared_Data!F28</f>
        <v>9315</v>
      </c>
      <c r="B374" s="3">
        <f>Cleaned_Prepared_Data!M28</f>
        <v>783672.82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">
        <f>Cleaned_Prepared_Data!F29</f>
        <v>7223</v>
      </c>
      <c r="B375" s="3">
        <f>Cleaned_Prepared_Data!M29</f>
        <v>701641.97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">
        <f>Cleaned_Prepared_Data!F30</f>
        <v>3988</v>
      </c>
      <c r="B376" s="3">
        <f>Cleaned_Prepared_Data!M30</f>
        <v>511844.41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">
        <f>Cleaned_Prepared_Data!F31</f>
        <v>2390</v>
      </c>
      <c r="B377" s="3">
        <f>Cleaned_Prepared_Data!M31</f>
        <v>537383.79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">
        <f>Cleaned_Prepared_Data!F32</f>
        <v>2471</v>
      </c>
      <c r="B378" s="3">
        <f>Cleaned_Prepared_Data!M32</f>
        <v>500173.02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">
        <f>Cleaned_Prepared_Data!F33</f>
        <v>971</v>
      </c>
      <c r="B379" s="3">
        <f>Cleaned_Prepared_Data!M33</f>
        <v>427917.38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">
        <f>Cleaned_Prepared_Data!F34</f>
        <v>9429</v>
      </c>
      <c r="B380" s="3">
        <f>Cleaned_Prepared_Data!M34</f>
        <v>641865.03</v>
      </c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">
        <f>Cleaned_Prepared_Data!F35</f>
        <v>11695</v>
      </c>
      <c r="B381" s="3">
        <f>Cleaned_Prepared_Data!M35</f>
        <v>799477.76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">
        <f>Cleaned_Prepared_Data!F36</f>
        <v>9449</v>
      </c>
      <c r="B382" s="3">
        <f>Cleaned_Prepared_Data!M36</f>
        <v>798952.17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">
        <f>Cleaned_Prepared_Data!F37</f>
        <v>10453</v>
      </c>
      <c r="B383" s="3">
        <f>Cleaned_Prepared_Data!M37</f>
        <v>800979.78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">
        <f>Cleaned_Prepared_Data!F38</f>
        <v>8838</v>
      </c>
      <c r="B384" s="3">
        <f>Cleaned_Prepared_Data!M38</f>
        <v>820593.93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">
        <f>Cleaned_Prepared_Data!F39</f>
        <v>8156</v>
      </c>
      <c r="B385" s="3">
        <f>Cleaned_Prepared_Data!M39</f>
        <v>718330.53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">
        <f>Cleaned_Prepared_Data!F40</f>
        <v>7562</v>
      </c>
      <c r="B386" s="3">
        <f>Cleaned_Prepared_Data!M40</f>
        <v>736633.4</v>
      </c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">
        <f>Cleaned_Prepared_Data!F41</f>
        <v>9598</v>
      </c>
      <c r="B387" s="3">
        <f>Cleaned_Prepared_Data!M41</f>
        <v>828623.85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">
        <f>Cleaned_Prepared_Data!F42</f>
        <v>3660</v>
      </c>
      <c r="B388" s="3">
        <f>Cleaned_Prepared_Data!M42</f>
        <v>592195.85</v>
      </c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">
        <f>Cleaned_Prepared_Data!F43</f>
        <v>3227</v>
      </c>
      <c r="B389" s="3">
        <f>Cleaned_Prepared_Data!M43</f>
        <v>532644.46</v>
      </c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">
        <f>Cleaned_Prepared_Data!F44</f>
        <v>3360</v>
      </c>
      <c r="B390" s="3">
        <f>Cleaned_Prepared_Data!M44</f>
        <v>657429.18</v>
      </c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">
        <f>Cleaned_Prepared_Data!F45</f>
        <v>3642</v>
      </c>
      <c r="B391" s="3">
        <f>Cleaned_Prepared_Data!M45</f>
        <v>605178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">
        <f>Cleaned_Prepared_Data!F46</f>
        <v>5145</v>
      </c>
      <c r="B392" s="3">
        <f>Cleaned_Prepared_Data!M46</f>
        <v>595467.6</v>
      </c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">
        <f>Cleaned_Prepared_Data!F47</f>
        <v>4460</v>
      </c>
      <c r="B393" s="3">
        <f>Cleaned_Prepared_Data!M47</f>
        <v>599603.4</v>
      </c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">
        <f>Cleaned_Prepared_Data!F48</f>
        <v>3804</v>
      </c>
      <c r="B394" s="3">
        <f>Cleaned_Prepared_Data!M48</f>
        <v>614800.09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">
        <f>Cleaned_Prepared_Data!F49</f>
        <v>4074</v>
      </c>
      <c r="B395" s="3">
        <f>Cleaned_Prepared_Data!M49</f>
        <v>585365.73</v>
      </c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">
        <f>Cleaned_Prepared_Data!F50</f>
        <v>5104</v>
      </c>
      <c r="B396" s="3">
        <f>Cleaned_Prepared_Data!M50</f>
        <v>622811.74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">
        <f>Cleaned_Prepared_Data!F51</f>
        <v>5559</v>
      </c>
      <c r="B397" s="3">
        <f>Cleaned_Prepared_Data!M51</f>
        <v>603297.57</v>
      </c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">
        <f>Cleaned_Prepared_Data!F52</f>
        <v>5150</v>
      </c>
      <c r="B398" s="3">
        <f>Cleaned_Prepared_Data!M52</f>
        <v>625672.86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">
        <f>Cleaned_Prepared_Data!F53</f>
        <v>7189</v>
      </c>
      <c r="B399" s="3">
        <f>Cleaned_Prepared_Data!M53</f>
        <v>773815.14</v>
      </c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">
        <f>Cleaned_Prepared_Data!F54</f>
        <v>3279</v>
      </c>
      <c r="B400" s="3">
        <f>Cleaned_Prepared_Data!M54</f>
        <v>463534.25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">
        <f>Cleaned_Prepared_Data!F55</f>
        <v>5887</v>
      </c>
      <c r="B401" s="3">
        <f>Cleaned_Prepared_Data!M55</f>
        <v>746677.75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">
        <f>Cleaned_Prepared_Data!F56</f>
        <v>5516</v>
      </c>
      <c r="B402" s="3">
        <f>Cleaned_Prepared_Data!M56</f>
        <v>720852.5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">
        <f>Cleaned_Prepared_Data!F57</f>
        <v>2863</v>
      </c>
      <c r="B403" s="3">
        <f>Cleaned_Prepared_Data!M57</f>
        <v>487464.91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">
        <f>Cleaned_Prepared_Data!F58</f>
        <v>2378</v>
      </c>
      <c r="B404" s="3">
        <f>Cleaned_Prepared_Data!M58</f>
        <v>518049.26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">
        <f>Cleaned_Prepared_Data!F59</f>
        <v>2515</v>
      </c>
      <c r="B405" s="3">
        <f>Cleaned_Prepared_Data!M59</f>
        <v>500298.48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">
        <f>Cleaned_Prepared_Data!F60</f>
        <v>4022</v>
      </c>
      <c r="B406" s="3">
        <f>Cleaned_Prepared_Data!M60</f>
        <v>617291.15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">
        <f>Cleaned_Prepared_Data!F61</f>
        <v>4377</v>
      </c>
      <c r="B407" s="3">
        <f>Cleaned_Prepared_Data!M61</f>
        <v>553756.43</v>
      </c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">
        <f>Cleaned_Prepared_Data!F62</f>
        <v>5306</v>
      </c>
      <c r="B408" s="3">
        <f>Cleaned_Prepared_Data!M62</f>
        <v>749559.71</v>
      </c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">
        <f>Cleaned_Prepared_Data!F63</f>
        <v>3928</v>
      </c>
      <c r="B409" s="3">
        <f>Cleaned_Prepared_Data!M63</f>
        <v>615966.48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">
        <f>Cleaned_Prepared_Data!F64</f>
        <v>3845</v>
      </c>
      <c r="B410" s="3">
        <f>Cleaned_Prepared_Data!M64</f>
        <v>572011.2</v>
      </c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">
        <f>Cleaned_Prepared_Data!F65</f>
        <v>6620</v>
      </c>
      <c r="B411" s="3">
        <f>Cleaned_Prepared_Data!M65</f>
        <v>761860.19</v>
      </c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">
        <f>Cleaned_Prepared_Data!F66</f>
        <v>9175</v>
      </c>
      <c r="B412" s="3">
        <f>Cleaned_Prepared_Data!M66</f>
        <v>784502.68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">
        <f>Cleaned_Prepared_Data!F67</f>
        <v>7940</v>
      </c>
      <c r="B413" s="3">
        <f>Cleaned_Prepared_Data!M67</f>
        <v>717141.55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">
        <f>Cleaned_Prepared_Data!F68</f>
        <v>9628</v>
      </c>
      <c r="B414" s="3">
        <f>Cleaned_Prepared_Data!M68</f>
        <v>685379.08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">
        <f>Cleaned_Prepared_Data!F69</f>
        <v>8296</v>
      </c>
      <c r="B415" s="3">
        <f>Cleaned_Prepared_Data!M69</f>
        <v>740496.65</v>
      </c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">
        <f>Cleaned_Prepared_Data!F70</f>
        <v>3595</v>
      </c>
      <c r="B416" s="3">
        <f>Cleaned_Prepared_Data!M70</f>
        <v>661927.14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">
        <f>Cleaned_Prepared_Data!F71</f>
        <v>2834</v>
      </c>
      <c r="B417" s="3">
        <f>Cleaned_Prepared_Data!M71</f>
        <v>479050.5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">
        <f>Cleaned_Prepared_Data!F72</f>
        <v>3193</v>
      </c>
      <c r="B418" s="3">
        <f>Cleaned_Prepared_Data!M72</f>
        <v>605023.87</v>
      </c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">
        <f>Cleaned_Prepared_Data!F73</f>
        <v>5485</v>
      </c>
      <c r="B419" s="3">
        <f>Cleaned_Prepared_Data!M73</f>
        <v>674774.09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">
        <f>Cleaned_Prepared_Data!F74</f>
        <v>5918</v>
      </c>
      <c r="B420" s="3">
        <f>Cleaned_Prepared_Data!M74</f>
        <v>616069.41</v>
      </c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">
        <f>Cleaned_Prepared_Data!F75</f>
        <v>6821</v>
      </c>
      <c r="B421" s="3">
        <f>Cleaned_Prepared_Data!M75</f>
        <v>630829.94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">
        <f>Cleaned_Prepared_Data!F76</f>
        <v>6806</v>
      </c>
      <c r="B422" s="3">
        <f>Cleaned_Prepared_Data!M76</f>
        <v>788087.68</v>
      </c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">
        <f>Cleaned_Prepared_Data!F77</f>
        <v>8252</v>
      </c>
      <c r="B423" s="3">
        <f>Cleaned_Prepared_Data!M77</f>
        <v>680840.36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">
        <f>Cleaned_Prepared_Data!F78</f>
        <v>6662</v>
      </c>
      <c r="B424" s="3">
        <f>Cleaned_Prepared_Data!M78</f>
        <v>643657.47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">
        <f>Cleaned_Prepared_Data!F79</f>
        <v>5962</v>
      </c>
      <c r="B425" s="3">
        <f>Cleaned_Prepared_Data!M79</f>
        <v>691112.6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">
        <f>Cleaned_Prepared_Data!F80</f>
        <v>7470</v>
      </c>
      <c r="B426" s="3">
        <f>Cleaned_Prepared_Data!M80</f>
        <v>776922.17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">
        <f>Cleaned_Prepared_Data!F81</f>
        <v>5974</v>
      </c>
      <c r="B427" s="3">
        <f>Cleaned_Prepared_Data!M81</f>
        <v>636561.34</v>
      </c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">
        <f>Cleaned_Prepared_Data!F82</f>
        <v>5410</v>
      </c>
      <c r="B428" s="3">
        <f>Cleaned_Prepared_Data!M82</f>
        <v>621369.58</v>
      </c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">
        <f>Cleaned_Prepared_Data!F83</f>
        <v>4451</v>
      </c>
      <c r="B429" s="3">
        <f>Cleaned_Prepared_Data!M83</f>
        <v>682208.01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">
        <f>Cleaned_Prepared_Data!F84</f>
        <v>4644</v>
      </c>
      <c r="B430" s="3">
        <f>Cleaned_Prepared_Data!M84</f>
        <v>727241.86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">
        <f>Cleaned_Prepared_Data!F85</f>
        <v>3559</v>
      </c>
      <c r="B431" s="3">
        <f>Cleaned_Prepared_Data!M85</f>
        <v>569100.78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">
        <f>Cleaned_Prepared_Data!F86</f>
        <v>3091</v>
      </c>
      <c r="B432" s="3">
        <f>Cleaned_Prepared_Data!M86</f>
        <v>574436.29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">
        <f>Cleaned_Prepared_Data!F87</f>
        <v>4004</v>
      </c>
      <c r="B433" s="3">
        <f>Cleaned_Prepared_Data!M87</f>
        <v>611766.72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">
        <f>Cleaned_Prepared_Data!F88</f>
        <v>3788</v>
      </c>
      <c r="B434" s="3">
        <f>Cleaned_Prepared_Data!M88</f>
        <v>614596.32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">
        <f>Cleaned_Prepared_Data!F89</f>
        <v>1260</v>
      </c>
      <c r="B435" s="3">
        <f>Cleaned_Prepared_Data!M89</f>
        <v>450711.92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">
        <f>Cleaned_Prepared_Data!F90</f>
        <v>7024</v>
      </c>
      <c r="B436" s="3">
        <f>Cleaned_Prepared_Data!M90</f>
        <v>711213.46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">
        <f>Cleaned_Prepared_Data!F91</f>
        <v>5400</v>
      </c>
      <c r="B437" s="3">
        <f>Cleaned_Prepared_Data!M91</f>
        <v>627171.9</v>
      </c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">
        <f>Cleaned_Prepared_Data!F92</f>
        <v>5988</v>
      </c>
      <c r="B438" s="3">
        <f>Cleaned_Prepared_Data!M92</f>
        <v>739852.58</v>
      </c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">
        <f>Cleaned_Prepared_Data!F93</f>
        <v>3701</v>
      </c>
      <c r="B439" s="3">
        <f>Cleaned_Prepared_Data!M93</f>
        <v>586307.22</v>
      </c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">
        <f>Cleaned_Prepared_Data!F94</f>
        <v>4509</v>
      </c>
      <c r="B440" s="3">
        <f>Cleaned_Prepared_Data!M94</f>
        <v>585937.48</v>
      </c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">
        <f>Cleaned_Prepared_Data!F95</f>
        <v>6477</v>
      </c>
      <c r="B441" s="3">
        <f>Cleaned_Prepared_Data!M95</f>
        <v>753473.55</v>
      </c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">
        <f>Cleaned_Prepared_Data!F96</f>
        <v>7970</v>
      </c>
      <c r="B442" s="3">
        <f>Cleaned_Prepared_Data!M96</f>
        <v>838250.32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">
        <f>Cleaned_Prepared_Data!F97</f>
        <v>6057</v>
      </c>
      <c r="B443" s="3">
        <f>Cleaned_Prepared_Data!M97</f>
        <v>607898.12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">
        <f>Cleaned_Prepared_Data!F98</f>
        <v>6394</v>
      </c>
      <c r="B444" s="3">
        <f>Cleaned_Prepared_Data!M98</f>
        <v>691113.62</v>
      </c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">
        <f>Cleaned_Prepared_Data!F99</f>
        <v>5150</v>
      </c>
      <c r="B445" s="3">
        <f>Cleaned_Prepared_Data!M99</f>
        <v>735509.4</v>
      </c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">
        <f>Cleaned_Prepared_Data!F100</f>
        <v>4712</v>
      </c>
      <c r="B446" s="3">
        <f>Cleaned_Prepared_Data!M100</f>
        <v>605775.33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">
        <f>Cleaned_Prepared_Data!F101</f>
        <v>5281</v>
      </c>
      <c r="B447" s="3">
        <f>Cleaned_Prepared_Data!M101</f>
        <v>675177.68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">
        <f>Cleaned_Prepared_Data!F102</f>
        <v>3642</v>
      </c>
      <c r="B448" s="3">
        <f>Cleaned_Prepared_Data!M102</f>
        <v>635181.35</v>
      </c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">
        <f>Cleaned_Prepared_Data!F103</f>
        <v>4373</v>
      </c>
      <c r="B449" s="3">
        <f>Cleaned_Prepared_Data!M103</f>
        <v>586626.94</v>
      </c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">
        <f>Cleaned_Prepared_Data!F104</f>
        <v>6832</v>
      </c>
      <c r="B450" s="3">
        <f>Cleaned_Prepared_Data!M104</f>
        <v>740102.64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">
        <f>Cleaned_Prepared_Data!F105</f>
        <v>2414</v>
      </c>
      <c r="B451" s="3">
        <f>Cleaned_Prepared_Data!M105</f>
        <v>625514.04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">
        <f>Cleaned_Prepared_Data!F106</f>
        <v>7374</v>
      </c>
      <c r="B452" s="3">
        <f>Cleaned_Prepared_Data!M106</f>
        <v>727227.2</v>
      </c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">
        <f>Cleaned_Prepared_Data!F107</f>
        <v>8739</v>
      </c>
      <c r="B453" s="3">
        <f>Cleaned_Prepared_Data!M107</f>
        <v>783797.89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">
        <f>Cleaned_Prepared_Data!F108</f>
        <v>6992</v>
      </c>
      <c r="B454" s="3">
        <f>Cleaned_Prepared_Data!M108</f>
        <v>795153.84</v>
      </c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">
        <f>Cleaned_Prepared_Data!F109</f>
        <v>7107</v>
      </c>
      <c r="B455" s="3">
        <f>Cleaned_Prepared_Data!M109</f>
        <v>665594.94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">
        <f>Cleaned_Prepared_Data!F110</f>
        <v>6975</v>
      </c>
      <c r="B456" s="3">
        <f>Cleaned_Prepared_Data!M110</f>
        <v>709478.39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">
        <f>Cleaned_Prepared_Data!F111</f>
        <v>5493</v>
      </c>
      <c r="B457" s="3">
        <f>Cleaned_Prepared_Data!M111</f>
        <v>664162.49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">
        <f>Cleaned_Prepared_Data!F112</f>
        <v>5686</v>
      </c>
      <c r="B458" s="3">
        <f>Cleaned_Prepared_Data!M112</f>
        <v>633494.21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">
        <f>Cleaned_Prepared_Data!F113</f>
        <v>4063</v>
      </c>
      <c r="B459" s="3">
        <f>Cleaned_Prepared_Data!M113</f>
        <v>713611.16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">
        <f>Cleaned_Prepared_Data!F114</f>
        <v>8966</v>
      </c>
      <c r="B460" s="3">
        <f>Cleaned_Prepared_Data!M114</f>
        <v>778397.97</v>
      </c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">
        <f>Cleaned_Prepared_Data!F115</f>
        <v>9489</v>
      </c>
      <c r="B461" s="3">
        <f>Cleaned_Prepared_Data!M115</f>
        <v>873380.02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">
        <f>Cleaned_Prepared_Data!F116</f>
        <v>9225</v>
      </c>
      <c r="B462" s="3">
        <f>Cleaned_Prepared_Data!M116</f>
        <v>697287.9</v>
      </c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">
        <f>Cleaned_Prepared_Data!F117</f>
        <v>9249</v>
      </c>
      <c r="B463" s="3">
        <f>Cleaned_Prepared_Data!M117</f>
        <v>718074.79</v>
      </c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">
        <f>Cleaned_Prepared_Data!F118</f>
        <v>7821</v>
      </c>
      <c r="B464" s="3">
        <f>Cleaned_Prepared_Data!M118</f>
        <v>714942.43</v>
      </c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">
        <f>Cleaned_Prepared_Data!F119</f>
        <v>8434</v>
      </c>
      <c r="B465" s="3">
        <f>Cleaned_Prepared_Data!M119</f>
        <v>820519.04</v>
      </c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">
        <f>Cleaned_Prepared_Data!F120</f>
        <v>8512</v>
      </c>
      <c r="B466" s="3">
        <f>Cleaned_Prepared_Data!M120</f>
        <v>684217.32</v>
      </c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">
        <f>Cleaned_Prepared_Data!F121</f>
        <v>7816</v>
      </c>
      <c r="B467" s="3">
        <f>Cleaned_Prepared_Data!M121</f>
        <v>735480.19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">
        <f>Cleaned_Prepared_Data!F122</f>
        <v>3853</v>
      </c>
      <c r="B468" s="3">
        <f>Cleaned_Prepared_Data!M122</f>
        <v>509484.81</v>
      </c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">
        <f>Cleaned_Prepared_Data!F123</f>
        <v>3694</v>
      </c>
      <c r="B469" s="3">
        <f>Cleaned_Prepared_Data!M123</f>
        <v>654317.09</v>
      </c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">
        <f>Cleaned_Prepared_Data!F124</f>
        <v>4423</v>
      </c>
      <c r="B470" s="3">
        <f>Cleaned_Prepared_Data!M124</f>
        <v>557487.26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">
        <f>Cleaned_Prepared_Data!F125</f>
        <v>1906</v>
      </c>
      <c r="B471" s="3">
        <f>Cleaned_Prepared_Data!M125</f>
        <v>441275.42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">
        <f>Cleaned_Prepared_Data!F126</f>
        <v>10396</v>
      </c>
      <c r="B472" s="3">
        <f>Cleaned_Prepared_Data!M126</f>
        <v>914544.17</v>
      </c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">
        <f>Cleaned_Prepared_Data!F127</f>
        <v>11076</v>
      </c>
      <c r="B473" s="3">
        <f>Cleaned_Prepared_Data!M127</f>
        <v>842439.67</v>
      </c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">
        <f>Cleaned_Prepared_Data!F128</f>
        <v>9574</v>
      </c>
      <c r="B474" s="3">
        <f>Cleaned_Prepared_Data!M128</f>
        <v>842157.92</v>
      </c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">
        <f>Cleaned_Prepared_Data!F129</f>
        <v>8221</v>
      </c>
      <c r="B475" s="3">
        <f>Cleaned_Prepared_Data!M129</f>
        <v>697155.3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">
        <f>Cleaned_Prepared_Data!F130</f>
        <v>10618</v>
      </c>
      <c r="B476" s="3">
        <f>Cleaned_Prepared_Data!M130</f>
        <v>849018.3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">
        <f>Cleaned_Prepared_Data!F131</f>
        <v>10596</v>
      </c>
      <c r="B477" s="3">
        <f>Cleaned_Prepared_Data!M131</f>
        <v>801830.35</v>
      </c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">
        <f>Cleaned_Prepared_Data!F132</f>
        <v>9619</v>
      </c>
      <c r="B478" s="3">
        <f>Cleaned_Prepared_Data!M132</f>
        <v>725235.28</v>
      </c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">
        <f>Cleaned_Prepared_Data!F133</f>
        <v>10836</v>
      </c>
      <c r="B479" s="3">
        <f>Cleaned_Prepared_Data!M133</f>
        <v>811452.72</v>
      </c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">
        <f>Cleaned_Prepared_Data!F134</f>
        <v>3043</v>
      </c>
      <c r="B480" s="3">
        <f>Cleaned_Prepared_Data!M134</f>
        <v>527300.13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">
        <f>Cleaned_Prepared_Data!F135</f>
        <v>1814</v>
      </c>
      <c r="B481" s="3">
        <f>Cleaned_Prepared_Data!M135</f>
        <v>400831.65</v>
      </c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">
        <f>Cleaned_Prepared_Data!F136</f>
        <v>3618</v>
      </c>
      <c r="B482" s="3">
        <f>Cleaned_Prepared_Data!M136</f>
        <v>593247.25</v>
      </c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">
        <f>Cleaned_Prepared_Data!F137</f>
        <v>1963</v>
      </c>
      <c r="B483" s="3">
        <f>Cleaned_Prepared_Data!M137</f>
        <v>529075.95</v>
      </c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">
        <f>Cleaned_Prepared_Data!F138</f>
        <v>7888</v>
      </c>
      <c r="B484" s="3">
        <f>Cleaned_Prepared_Data!M138</f>
        <v>633638.03</v>
      </c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">
        <f>Cleaned_Prepared_Data!F139</f>
        <v>6244</v>
      </c>
      <c r="B485" s="3">
        <f>Cleaned_Prepared_Data!M139</f>
        <v>743348.84</v>
      </c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">
        <f>Cleaned_Prepared_Data!F140</f>
        <v>6544</v>
      </c>
      <c r="B486" s="3">
        <f>Cleaned_Prepared_Data!M140</f>
        <v>758827.64</v>
      </c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">
        <f>Cleaned_Prepared_Data!F141</f>
        <v>5465</v>
      </c>
      <c r="B487" s="3">
        <f>Cleaned_Prepared_Data!M141</f>
        <v>646559.71</v>
      </c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">
        <f>Cleaned_Prepared_Data!F142</f>
        <v>6427</v>
      </c>
      <c r="B488" s="3">
        <f>Cleaned_Prepared_Data!M142</f>
        <v>715890.53</v>
      </c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">
        <f>Cleaned_Prepared_Data!F143</f>
        <v>6704</v>
      </c>
      <c r="B489" s="3">
        <f>Cleaned_Prepared_Data!M143</f>
        <v>715097.57</v>
      </c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">
        <f>Cleaned_Prepared_Data!F144</f>
        <v>5645</v>
      </c>
      <c r="B490" s="3">
        <f>Cleaned_Prepared_Data!M144</f>
        <v>682639.28</v>
      </c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">
        <f>Cleaned_Prepared_Data!F145</f>
        <v>6089</v>
      </c>
      <c r="B491" s="3">
        <f>Cleaned_Prepared_Data!M145</f>
        <v>695098.51</v>
      </c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">
        <f>Cleaned_Prepared_Data!F146</f>
        <v>4312</v>
      </c>
      <c r="B492" s="3">
        <f>Cleaned_Prepared_Data!M146</f>
        <v>577732.57</v>
      </c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">
        <f>Cleaned_Prepared_Data!F147</f>
        <v>3152</v>
      </c>
      <c r="B493" s="3">
        <f>Cleaned_Prepared_Data!M147</f>
        <v>537058.33</v>
      </c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">
        <f>Cleaned_Prepared_Data!F148</f>
        <v>4259</v>
      </c>
      <c r="B494" s="3">
        <f>Cleaned_Prepared_Data!M148</f>
        <v>601568.87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">
        <f>Cleaned_Prepared_Data!F149</f>
        <v>3350</v>
      </c>
      <c r="B495" s="3">
        <f>Cleaned_Prepared_Data!M149</f>
        <v>570964.84</v>
      </c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">
        <f>Cleaned_Prepared_Data!F150</f>
        <v>5329</v>
      </c>
      <c r="B496" s="3">
        <f>Cleaned_Prepared_Data!M150</f>
        <v>614024.91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">
        <f>Cleaned_Prepared_Data!F151</f>
        <v>6551</v>
      </c>
      <c r="B497" s="3">
        <f>Cleaned_Prepared_Data!M151</f>
        <v>712868.35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">
        <f>Cleaned_Prepared_Data!F152</f>
        <v>5550</v>
      </c>
      <c r="B498" s="3">
        <f>Cleaned_Prepared_Data!M152</f>
        <v>696744.15</v>
      </c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">
        <f>Cleaned_Prepared_Data!F153</f>
        <v>5911</v>
      </c>
      <c r="B499" s="3">
        <f>Cleaned_Prepared_Data!M153</f>
        <v>725847.99</v>
      </c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">
        <f>Cleaned_Prepared_Data!F154</f>
        <v>9674</v>
      </c>
      <c r="B500" s="3">
        <f>Cleaned_Prepared_Data!M154</f>
        <v>785028.25</v>
      </c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">
        <f>Cleaned_Prepared_Data!F155</f>
        <v>6740</v>
      </c>
      <c r="B501" s="3">
        <f>Cleaned_Prepared_Data!M155</f>
        <v>698492.67</v>
      </c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">
        <f>Cleaned_Prepared_Data!F156</f>
        <v>7745</v>
      </c>
      <c r="B502" s="3">
        <f>Cleaned_Prepared_Data!M156</f>
        <v>685830.24</v>
      </c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">
        <f>Cleaned_Prepared_Data!F157</f>
        <v>7693</v>
      </c>
      <c r="B503" s="3">
        <f>Cleaned_Prepared_Data!M157</f>
        <v>702318.94</v>
      </c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">
        <f>Cleaned_Prepared_Data!F158</f>
        <v>6424</v>
      </c>
      <c r="B504" s="3">
        <f>Cleaned_Prepared_Data!M158</f>
        <v>700078.32</v>
      </c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">
        <f>Cleaned_Prepared_Data!F159</f>
        <v>5400</v>
      </c>
      <c r="B505" s="3">
        <f>Cleaned_Prepared_Data!M159</f>
        <v>602002.32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">
        <f>Cleaned_Prepared_Data!F160</f>
        <v>7015</v>
      </c>
      <c r="B506" s="3">
        <f>Cleaned_Prepared_Data!M160</f>
        <v>724216.07</v>
      </c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">
        <f>Cleaned_Prepared_Data!F161</f>
        <v>3847</v>
      </c>
      <c r="B507" s="3">
        <f>Cleaned_Prepared_Data!M161</f>
        <v>620973.03</v>
      </c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">
        <f>Cleaned_Prepared_Data!F162</f>
        <v>7455</v>
      </c>
      <c r="B508" s="3">
        <f>Cleaned_Prepared_Data!M162</f>
        <v>650480.06</v>
      </c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">
        <f>Cleaned_Prepared_Data!F163</f>
        <v>6992</v>
      </c>
      <c r="B509" s="3">
        <f>Cleaned_Prepared_Data!M163</f>
        <v>778298.88</v>
      </c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">
        <f>Cleaned_Prepared_Data!F164</f>
        <v>8038</v>
      </c>
      <c r="B510" s="3">
        <f>Cleaned_Prepared_Data!M164</f>
        <v>677096.71</v>
      </c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">
        <f>Cleaned_Prepared_Data!F165</f>
        <v>6055</v>
      </c>
      <c r="B511" s="3">
        <f>Cleaned_Prepared_Data!M165</f>
        <v>692008.64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">
        <f>Cleaned_Prepared_Data!F166</f>
        <v>9323</v>
      </c>
      <c r="B512" s="3">
        <f>Cleaned_Prepared_Data!M166</f>
        <v>825797.91</v>
      </c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">
        <f>Cleaned_Prepared_Data!F167</f>
        <v>8789</v>
      </c>
      <c r="B513" s="3">
        <f>Cleaned_Prepared_Data!M167</f>
        <v>706285.52</v>
      </c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">
        <f>Cleaned_Prepared_Data!F168</f>
        <v>6939</v>
      </c>
      <c r="B514" s="3">
        <f>Cleaned_Prepared_Data!M168</f>
        <v>665534.7</v>
      </c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">
        <f>Cleaned_Prepared_Data!F169</f>
        <v>9440</v>
      </c>
      <c r="B515" s="3">
        <f>Cleaned_Prepared_Data!M169</f>
        <v>820729.29</v>
      </c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">
        <f>Cleaned_Prepared_Data!F170</f>
        <v>9374</v>
      </c>
      <c r="B516" s="3">
        <f>Cleaned_Prepared_Data!M170</f>
        <v>739831.73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">
        <f>Cleaned_Prepared_Data!F171</f>
        <v>7576</v>
      </c>
      <c r="B517" s="3">
        <f>Cleaned_Prepared_Data!M171</f>
        <v>593637.14</v>
      </c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">
        <f>Cleaned_Prepared_Data!F172</f>
        <v>8949</v>
      </c>
      <c r="B518" s="3">
        <f>Cleaned_Prepared_Data!M172</f>
        <v>769702.76</v>
      </c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">
        <f>Cleaned_Prepared_Data!F173</f>
        <v>7671</v>
      </c>
      <c r="B519" s="3">
        <f>Cleaned_Prepared_Data!M173</f>
        <v>679731.57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">
        <f>Cleaned_Prepared_Data!F174</f>
        <v>8741</v>
      </c>
      <c r="B520" s="3">
        <f>Cleaned_Prepared_Data!M174</f>
        <v>780344.18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">
        <f>Cleaned_Prepared_Data!F175</f>
        <v>9480</v>
      </c>
      <c r="B521" s="3">
        <f>Cleaned_Prepared_Data!M175</f>
        <v>721364.11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">
        <f>Cleaned_Prepared_Data!F176</f>
        <v>9826</v>
      </c>
      <c r="B522" s="3">
        <f>Cleaned_Prepared_Data!M176</f>
        <v>758138.29</v>
      </c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">
        <f>Cleaned_Prepared_Data!F177</f>
        <v>10402</v>
      </c>
      <c r="B523" s="3">
        <f>Cleaned_Prepared_Data!M177</f>
        <v>804264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">
        <f>Cleaned_Prepared_Data!F178</f>
        <v>12361</v>
      </c>
      <c r="B524" s="3">
        <f>Cleaned_Prepared_Data!M178</f>
        <v>887537.75</v>
      </c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">
        <f>Cleaned_Prepared_Data!F179</f>
        <v>7925</v>
      </c>
      <c r="B525" s="3">
        <f>Cleaned_Prepared_Data!M179</f>
        <v>783582</v>
      </c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">
        <f>Cleaned_Prepared_Data!F180</f>
        <v>8870</v>
      </c>
      <c r="B526" s="3">
        <f>Cleaned_Prepared_Data!M180</f>
        <v>781955.52</v>
      </c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">
        <f>Cleaned_Prepared_Data!F181</f>
        <v>9999</v>
      </c>
      <c r="B527" s="3">
        <f>Cleaned_Prepared_Data!M181</f>
        <v>898031.04</v>
      </c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">
        <f>Cleaned_Prepared_Data!F182</f>
        <v>11154</v>
      </c>
      <c r="B528" s="3">
        <f>Cleaned_Prepared_Data!M182</f>
        <v>855341.28</v>
      </c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">
        <f>Cleaned_Prepared_Data!F183</f>
        <v>9287</v>
      </c>
      <c r="B529" s="3">
        <f>Cleaned_Prepared_Data!M183</f>
        <v>751393.88</v>
      </c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">
        <f>Cleaned_Prepared_Data!F184</f>
        <v>9812</v>
      </c>
      <c r="B530" s="3">
        <f>Cleaned_Prepared_Data!M184</f>
        <v>761077.08</v>
      </c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">
        <f>Cleaned_Prepared_Data!F185</f>
        <v>10741</v>
      </c>
      <c r="B531" s="3">
        <f>Cleaned_Prepared_Data!M185</f>
        <v>819660.59</v>
      </c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">
        <f>Cleaned_Prepared_Data!F186</f>
        <v>6084</v>
      </c>
      <c r="B532" s="3">
        <f>Cleaned_Prepared_Data!M186</f>
        <v>681855.56</v>
      </c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">
        <f>Cleaned_Prepared_Data!F187</f>
        <v>5252</v>
      </c>
      <c r="B533" s="3">
        <f>Cleaned_Prepared_Data!M187</f>
        <v>678311.17</v>
      </c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">
        <f>Cleaned_Prepared_Data!F188</f>
        <v>6516</v>
      </c>
      <c r="B534" s="3">
        <f>Cleaned_Prepared_Data!M188</f>
        <v>765906.95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">
        <f>Cleaned_Prepared_Data!F189</f>
        <v>7932</v>
      </c>
      <c r="B535" s="3">
        <f>Cleaned_Prepared_Data!M189</f>
        <v>712546.38</v>
      </c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">
        <f>Cleaned_Prepared_Data!F190</f>
        <v>3506</v>
      </c>
      <c r="B536" s="3">
        <f>Cleaned_Prepared_Data!M190</f>
        <v>625993.83</v>
      </c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">
        <f>Cleaned_Prepared_Data!F191</f>
        <v>2312</v>
      </c>
      <c r="B537" s="3">
        <f>Cleaned_Prepared_Data!M191</f>
        <v>550962.93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">
        <f>Cleaned_Prepared_Data!F192</f>
        <v>1268</v>
      </c>
      <c r="B538" s="3">
        <f>Cleaned_Prepared_Data!M192</f>
        <v>443275.59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">
        <f>Cleaned_Prepared_Data!F193</f>
        <v>4423</v>
      </c>
      <c r="B539" s="3">
        <f>Cleaned_Prepared_Data!M193</f>
        <v>554012.07</v>
      </c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">
        <f>Cleaned_Prepared_Data!F194</f>
        <v>6177</v>
      </c>
      <c r="B540" s="3">
        <f>Cleaned_Prepared_Data!M194</f>
        <v>643428.85</v>
      </c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">
        <f>Cleaned_Prepared_Data!F195</f>
        <v>5150</v>
      </c>
      <c r="B541" s="3">
        <f>Cleaned_Prepared_Data!M195</f>
        <v>611924.27</v>
      </c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">
        <f>Cleaned_Prepared_Data!F196</f>
        <v>3783</v>
      </c>
      <c r="B542" s="3">
        <f>Cleaned_Prepared_Data!M196</f>
        <v>559422.02</v>
      </c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">
        <f>Cleaned_Prepared_Data!F197</f>
        <v>3135</v>
      </c>
      <c r="B543" s="3">
        <f>Cleaned_Prepared_Data!M197</f>
        <v>449465.06</v>
      </c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">
        <f>Cleaned_Prepared_Data!F198</f>
        <v>4970</v>
      </c>
      <c r="B544" s="3">
        <f>Cleaned_Prepared_Data!M198</f>
        <v>691447.43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">
        <f>Cleaned_Prepared_Data!F199</f>
        <v>4366</v>
      </c>
      <c r="B545" s="3">
        <f>Cleaned_Prepared_Data!M199</f>
        <v>574066.61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">
        <f>Cleaned_Prepared_Data!F200</f>
        <v>5012</v>
      </c>
      <c r="B546" s="3">
        <f>Cleaned_Prepared_Data!M200</f>
        <v>578949.84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">
        <f>Cleaned_Prepared_Data!F201</f>
        <v>5575</v>
      </c>
      <c r="B547" s="3">
        <f>Cleaned_Prepared_Data!M201</f>
        <v>735786.64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">
        <f>Cleaned_Prepared_Data!F202</f>
        <v>5955</v>
      </c>
      <c r="B548" s="3">
        <f>Cleaned_Prepared_Data!M202</f>
        <v>598904.9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">
        <f>Cleaned_Prepared_Data!F203</f>
        <v>6389</v>
      </c>
      <c r="B549" s="3">
        <f>Cleaned_Prepared_Data!M203</f>
        <v>787715.51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">
        <f>Cleaned_Prepared_Data!F204</f>
        <v>6896</v>
      </c>
      <c r="B550" s="3">
        <f>Cleaned_Prepared_Data!M204</f>
        <v>607084.92</v>
      </c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">
        <f>Cleaned_Prepared_Data!F205</f>
        <v>6015</v>
      </c>
      <c r="B551" s="3">
        <f>Cleaned_Prepared_Data!M205</f>
        <v>650795.49</v>
      </c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">
        <f>Cleaned_Prepared_Data!F206</f>
        <v>9476</v>
      </c>
      <c r="B552" s="3">
        <f>Cleaned_Prepared_Data!M206</f>
        <v>825060.52</v>
      </c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">
        <f>Cleaned_Prepared_Data!F207</f>
        <v>7875</v>
      </c>
      <c r="B553" s="3">
        <f>Cleaned_Prepared_Data!M207</f>
        <v>795464.47</v>
      </c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">
        <f>Cleaned_Prepared_Data!F208</f>
        <v>9283</v>
      </c>
      <c r="B554" s="3">
        <f>Cleaned_Prepared_Data!M208</f>
        <v>671868.59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">
        <f>Cleaned_Prepared_Data!F209</f>
        <v>8303</v>
      </c>
      <c r="B555" s="3">
        <f>Cleaned_Prepared_Data!M209</f>
        <v>675917.63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">
        <f>Cleaned_Prepared_Data!F210</f>
        <v>10125</v>
      </c>
      <c r="B556" s="3">
        <f>Cleaned_Prepared_Data!M210</f>
        <v>810446.53</v>
      </c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">
        <f>Cleaned_Prepared_Data!F211</f>
        <v>9458</v>
      </c>
      <c r="B557" s="3">
        <f>Cleaned_Prepared_Data!M211</f>
        <v>691288.19</v>
      </c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">
        <f>Cleaned_Prepared_Data!F212</f>
        <v>12870</v>
      </c>
      <c r="B558" s="3">
        <f>Cleaned_Prepared_Data!M212</f>
        <v>946833.54</v>
      </c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">
        <f>Cleaned_Prepared_Data!F213</f>
        <v>9752</v>
      </c>
      <c r="B559" s="3">
        <f>Cleaned_Prepared_Data!M213</f>
        <v>761963.23</v>
      </c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">
        <f>Cleaned_Prepared_Data!F214</f>
        <v>9505</v>
      </c>
      <c r="B560" s="3">
        <f>Cleaned_Prepared_Data!M214</f>
        <v>812152.6</v>
      </c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">
        <f>Cleaned_Prepared_Data!F215</f>
        <v>9412</v>
      </c>
      <c r="B561" s="3">
        <f>Cleaned_Prepared_Data!M215</f>
        <v>804975.5</v>
      </c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">
        <f>Cleaned_Prepared_Data!F216</f>
        <v>9644</v>
      </c>
      <c r="B562" s="3">
        <f>Cleaned_Prepared_Data!M216</f>
        <v>752321.72</v>
      </c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">
        <f>Cleaned_Prepared_Data!F217</f>
        <v>11224</v>
      </c>
      <c r="B563" s="3">
        <f>Cleaned_Prepared_Data!M217</f>
        <v>836908.24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">
        <f>Cleaned_Prepared_Data!F218</f>
        <v>5394</v>
      </c>
      <c r="B564" s="3">
        <f>Cleaned_Prepared_Data!M218</f>
        <v>674289.1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">
        <f>Cleaned_Prepared_Data!F219</f>
        <v>5014</v>
      </c>
      <c r="B565" s="3">
        <f>Cleaned_Prepared_Data!M219</f>
        <v>622892.42</v>
      </c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">
        <f>Cleaned_Prepared_Data!F220</f>
        <v>4467</v>
      </c>
      <c r="B566" s="3">
        <f>Cleaned_Prepared_Data!M220</f>
        <v>673348.56</v>
      </c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">
        <f>Cleaned_Prepared_Data!F221</f>
        <v>4678</v>
      </c>
      <c r="B567" s="3">
        <f>Cleaned_Prepared_Data!M221</f>
        <v>606278.3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">
        <f>Cleaned_Prepared_Data!F222</f>
        <v>7291</v>
      </c>
      <c r="B568" s="3">
        <f>Cleaned_Prepared_Data!M222</f>
        <v>712219.81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">
        <f>Cleaned_Prepared_Data!F223</f>
        <v>7404</v>
      </c>
      <c r="B569" s="3">
        <f>Cleaned_Prepared_Data!M223</f>
        <v>672670.54</v>
      </c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">
        <f>Cleaned_Prepared_Data!F224</f>
        <v>7880</v>
      </c>
      <c r="B570" s="3">
        <f>Cleaned_Prepared_Data!M224</f>
        <v>732667.92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">
        <f>Cleaned_Prepared_Data!F225</f>
        <v>8773</v>
      </c>
      <c r="B571" s="3">
        <f>Cleaned_Prepared_Data!M225</f>
        <v>723531.4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">
        <f>Cleaned_Prepared_Data!F226</f>
        <v>4713</v>
      </c>
      <c r="B572" s="3">
        <f>Cleaned_Prepared_Data!M226</f>
        <v>641564.6</v>
      </c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">
        <f>Cleaned_Prepared_Data!F227</f>
        <v>2842</v>
      </c>
      <c r="B573" s="3">
        <f>Cleaned_Prepared_Data!M227</f>
        <v>536545.49</v>
      </c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">
        <f>Cleaned_Prepared_Data!F228</f>
        <v>3872</v>
      </c>
      <c r="B574" s="3">
        <f>Cleaned_Prepared_Data!M228</f>
        <v>527681.56</v>
      </c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">
        <f>Cleaned_Prepared_Data!F229</f>
        <v>1375</v>
      </c>
      <c r="B575" s="3">
        <f>Cleaned_Prepared_Data!M229</f>
        <v>529598.94</v>
      </c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">
        <f>Cleaned_Prepared_Data!F230</f>
        <v>5957</v>
      </c>
      <c r="B576" s="3">
        <f>Cleaned_Prepared_Data!M230</f>
        <v>570963.31</v>
      </c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">
        <f>Cleaned_Prepared_Data!F231</f>
        <v>8961</v>
      </c>
      <c r="B577" s="3">
        <f>Cleaned_Prepared_Data!M231</f>
        <v>870937.4</v>
      </c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">
        <f>Cleaned_Prepared_Data!F232</f>
        <v>6545</v>
      </c>
      <c r="B578" s="3">
        <f>Cleaned_Prepared_Data!M232</f>
        <v>596969.27</v>
      </c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">
        <f>Cleaned_Prepared_Data!F233</f>
        <v>5457</v>
      </c>
      <c r="B579" s="3">
        <f>Cleaned_Prepared_Data!M233</f>
        <v>647512.85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">
        <f>Cleaned_Prepared_Data!F234</f>
        <v>4264</v>
      </c>
      <c r="B580" s="3">
        <f>Cleaned_Prepared_Data!M234</f>
        <v>658072.14</v>
      </c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">
        <f>Cleaned_Prepared_Data!F235</f>
        <v>5321</v>
      </c>
      <c r="B581" s="3">
        <f>Cleaned_Prepared_Data!M235</f>
        <v>723305.11</v>
      </c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">
        <f>Cleaned_Prepared_Data!F236</f>
        <v>5479</v>
      </c>
      <c r="B582" s="3">
        <f>Cleaned_Prepared_Data!M236</f>
        <v>640666.53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">
        <f>Cleaned_Prepared_Data!F237</f>
        <v>6169</v>
      </c>
      <c r="B583" s="3">
        <f>Cleaned_Prepared_Data!M237</f>
        <v>670629.48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">
        <f>Cleaned_Prepared_Data!F238</f>
        <v>9908</v>
      </c>
      <c r="B584" s="3">
        <f>Cleaned_Prepared_Data!M238</f>
        <v>721079.35</v>
      </c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">
        <f>Cleaned_Prepared_Data!F239</f>
        <v>9996</v>
      </c>
      <c r="B585" s="3">
        <f>Cleaned_Prepared_Data!M239</f>
        <v>810355.02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">
        <f>Cleaned_Prepared_Data!F240</f>
        <v>9702</v>
      </c>
      <c r="B586" s="3">
        <f>Cleaned_Prepared_Data!M240</f>
        <v>761919.25</v>
      </c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">
        <f>Cleaned_Prepared_Data!F241</f>
        <v>9314</v>
      </c>
      <c r="B587" s="3">
        <f>Cleaned_Prepared_Data!M241</f>
        <v>737070.18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">
        <f>Cleaned_Prepared_Data!F242</f>
        <v>8055</v>
      </c>
      <c r="B588" s="3">
        <f>Cleaned_Prepared_Data!M242</f>
        <v>776992.93</v>
      </c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">
        <f>Cleaned_Prepared_Data!F243</f>
        <v>5648</v>
      </c>
      <c r="B589" s="3">
        <f>Cleaned_Prepared_Data!M243</f>
        <v>676337.41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">
        <f>Cleaned_Prepared_Data!F244</f>
        <v>10076</v>
      </c>
      <c r="B590" s="3">
        <f>Cleaned_Prepared_Data!M244</f>
        <v>828219.67</v>
      </c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">
        <f>Cleaned_Prepared_Data!F245</f>
        <v>8004</v>
      </c>
      <c r="B591" s="3">
        <f>Cleaned_Prepared_Data!M245</f>
        <v>763159.92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">
        <f>Cleaned_Prepared_Data!F246</f>
        <v>8934</v>
      </c>
      <c r="B592" s="3">
        <f>Cleaned_Prepared_Data!M246</f>
        <v>802001.68</v>
      </c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">
        <f>Cleaned_Prepared_Data!F247</f>
        <v>8733</v>
      </c>
      <c r="B593" s="3">
        <f>Cleaned_Prepared_Data!M247</f>
        <v>750471.34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">
        <f>Cleaned_Prepared_Data!F248</f>
        <v>7374</v>
      </c>
      <c r="B594" s="3">
        <f>Cleaned_Prepared_Data!M248</f>
        <v>679230.86</v>
      </c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">
        <f>Cleaned_Prepared_Data!F249</f>
        <v>8119</v>
      </c>
      <c r="B595" s="3">
        <f>Cleaned_Prepared_Data!M249</f>
        <v>679888.74</v>
      </c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">
        <f>Cleaned_Prepared_Data!F250</f>
        <v>3875</v>
      </c>
      <c r="B596" s="3">
        <f>Cleaned_Prepared_Data!M250</f>
        <v>606783.67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">
        <f>Cleaned_Prepared_Data!F251</f>
        <v>5765</v>
      </c>
      <c r="B597" s="3">
        <f>Cleaned_Prepared_Data!M251</f>
        <v>642751.42</v>
      </c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">
        <f>Cleaned_Prepared_Data!F252</f>
        <v>6322</v>
      </c>
      <c r="B598" s="3">
        <f>Cleaned_Prepared_Data!M252</f>
        <v>647953.78</v>
      </c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">
        <f>Cleaned_Prepared_Data!F253</f>
        <v>6840</v>
      </c>
      <c r="B599" s="3">
        <f>Cleaned_Prepared_Data!M253</f>
        <v>729440.45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">
        <f>Cleaned_Prepared_Data!F254</f>
        <v>6782</v>
      </c>
      <c r="B600" s="3">
        <f>Cleaned_Prepared_Data!M254</f>
        <v>764949</v>
      </c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">
        <f>Cleaned_Prepared_Data!F255</f>
        <v>6856</v>
      </c>
      <c r="B601" s="3">
        <f>Cleaned_Prepared_Data!M255</f>
        <v>799046.94</v>
      </c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">
        <f>Cleaned_Prepared_Data!F256</f>
        <v>5641</v>
      </c>
      <c r="B602" s="3">
        <f>Cleaned_Prepared_Data!M256</f>
        <v>720079.54</v>
      </c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">
        <f>Cleaned_Prepared_Data!F257</f>
        <v>5787</v>
      </c>
      <c r="B603" s="3">
        <f>Cleaned_Prepared_Data!M257</f>
        <v>612390.14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">
        <f>Cleaned_Prepared_Data!F258</f>
        <v>8165</v>
      </c>
      <c r="B604" s="3">
        <f>Cleaned_Prepared_Data!M258</f>
        <v>840108.12</v>
      </c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">
        <f>Cleaned_Prepared_Data!F259</f>
        <v>7574</v>
      </c>
      <c r="B605" s="3">
        <f>Cleaned_Prepared_Data!M259</f>
        <v>697888.09</v>
      </c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">
        <f>Cleaned_Prepared_Data!F260</f>
        <v>8634</v>
      </c>
      <c r="B606" s="3">
        <f>Cleaned_Prepared_Data!M260</f>
        <v>746115.59</v>
      </c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">
        <f>Cleaned_Prepared_Data!F261</f>
        <v>7836</v>
      </c>
      <c r="B607" s="3">
        <f>Cleaned_Prepared_Data!M261</f>
        <v>776110.32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">
        <f>Cleaned_Prepared_Data!F262</f>
        <v>3047</v>
      </c>
      <c r="B608" s="3">
        <f>Cleaned_Prepared_Data!M262</f>
        <v>528852.62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">
        <f>Cleaned_Prepared_Data!F263</f>
        <v>4783</v>
      </c>
      <c r="B609" s="3">
        <f>Cleaned_Prepared_Data!M263</f>
        <v>605751.33</v>
      </c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">
        <f>Cleaned_Prepared_Data!F264</f>
        <v>4902</v>
      </c>
      <c r="B610" s="3">
        <f>Cleaned_Prepared_Data!M264</f>
        <v>677640.65</v>
      </c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">
        <f>Cleaned_Prepared_Data!F265</f>
        <v>4022</v>
      </c>
      <c r="B611" s="3">
        <f>Cleaned_Prepared_Data!M265</f>
        <v>636613.23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">
        <f>Cleaned_Prepared_Data!F266</f>
        <v>7324</v>
      </c>
      <c r="B612" s="3">
        <f>Cleaned_Prepared_Data!M266</f>
        <v>708985.19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">
        <f>Cleaned_Prepared_Data!F267</f>
        <v>8129</v>
      </c>
      <c r="B613" s="3">
        <f>Cleaned_Prepared_Data!M267</f>
        <v>767792.94</v>
      </c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">
        <f>Cleaned_Prepared_Data!F268</f>
        <v>7969</v>
      </c>
      <c r="B614" s="3">
        <f>Cleaned_Prepared_Data!M268</f>
        <v>745580.51</v>
      </c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">
        <f>Cleaned_Prepared_Data!F269</f>
        <v>7240</v>
      </c>
      <c r="B615" s="3">
        <f>Cleaned_Prepared_Data!M269</f>
        <v>762328.31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">
        <f>Cleaned_Prepared_Data!F270</f>
        <v>8052</v>
      </c>
      <c r="B616" s="3">
        <f>Cleaned_Prepared_Data!M270</f>
        <v>660633.99</v>
      </c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">
        <f>Cleaned_Prepared_Data!F271</f>
        <v>8018</v>
      </c>
      <c r="B617" s="3">
        <f>Cleaned_Prepared_Data!M271</f>
        <v>739374.56</v>
      </c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">
        <f>Cleaned_Prepared_Data!F272</f>
        <v>10192</v>
      </c>
      <c r="B618" s="3">
        <f>Cleaned_Prepared_Data!M272</f>
        <v>799756.46</v>
      </c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">
        <f>Cleaned_Prepared_Data!F273</f>
        <v>7446</v>
      </c>
      <c r="B619" s="3">
        <f>Cleaned_Prepared_Data!M273</f>
        <v>593343</v>
      </c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">
        <f>Cleaned_Prepared_Data!F274</f>
        <v>5689</v>
      </c>
      <c r="B620" s="3">
        <f>Cleaned_Prepared_Data!M274</f>
        <v>645039.97</v>
      </c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">
        <f>Cleaned_Prepared_Data!F275</f>
        <v>3326</v>
      </c>
      <c r="B621" s="3">
        <f>Cleaned_Prepared_Data!M275</f>
        <v>561597.33</v>
      </c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">
        <f>Cleaned_Prepared_Data!F276</f>
        <v>5767</v>
      </c>
      <c r="B622" s="3">
        <f>Cleaned_Prepared_Data!M276</f>
        <v>635837.74</v>
      </c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">
        <f>Cleaned_Prepared_Data!F277</f>
        <v>5893</v>
      </c>
      <c r="B623" s="3">
        <f>Cleaned_Prepared_Data!M277</f>
        <v>686737.87</v>
      </c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">
        <f>Cleaned_Prepared_Data!F278</f>
        <v>8564</v>
      </c>
      <c r="B624" s="3">
        <f>Cleaned_Prepared_Data!M278</f>
        <v>673076.34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">
        <f>Cleaned_Prepared_Data!F279</f>
        <v>8001</v>
      </c>
      <c r="B625" s="3">
        <f>Cleaned_Prepared_Data!M279</f>
        <v>738548.42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">
        <f>Cleaned_Prepared_Data!F280</f>
        <v>9324</v>
      </c>
      <c r="B626" s="3">
        <f>Cleaned_Prepared_Data!M280</f>
        <v>756619.77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">
        <f>Cleaned_Prepared_Data!F281</f>
        <v>9109</v>
      </c>
      <c r="B627" s="3">
        <f>Cleaned_Prepared_Data!M281</f>
        <v>761122.42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">
        <f>Cleaned_Prepared_Data!F282</f>
        <v>4022</v>
      </c>
      <c r="B628" s="3">
        <f>Cleaned_Prepared_Data!M282</f>
        <v>524899.57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">
        <f>Cleaned_Prepared_Data!F283</f>
        <v>4355</v>
      </c>
      <c r="B629" s="3">
        <f>Cleaned_Prepared_Data!M283</f>
        <v>555557.77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">
        <f>Cleaned_Prepared_Data!F284</f>
        <v>5745</v>
      </c>
      <c r="B630" s="3">
        <f>Cleaned_Prepared_Data!M284</f>
        <v>714083.68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">
        <f>Cleaned_Prepared_Data!F285</f>
        <v>3027</v>
      </c>
      <c r="B631" s="3">
        <f>Cleaned_Prepared_Data!M285</f>
        <v>497439.82</v>
      </c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">
        <f>Cleaned_Prepared_Data!F286</f>
        <v>5562</v>
      </c>
      <c r="B632" s="3">
        <f>Cleaned_Prepared_Data!M286</f>
        <v>636775.66</v>
      </c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">
        <f>Cleaned_Prepared_Data!F287</f>
        <v>4487</v>
      </c>
      <c r="B633" s="3">
        <f>Cleaned_Prepared_Data!M287</f>
        <v>633009.53</v>
      </c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">
        <f>Cleaned_Prepared_Data!F288</f>
        <v>4162</v>
      </c>
      <c r="B634" s="3">
        <f>Cleaned_Prepared_Data!M288</f>
        <v>609949</v>
      </c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">
        <f>Cleaned_Prepared_Data!F289</f>
        <v>4094</v>
      </c>
      <c r="B635" s="3">
        <f>Cleaned_Prepared_Data!M289</f>
        <v>548103.7</v>
      </c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">
        <f>Cleaned_Prepared_Data!F290</f>
        <v>8484</v>
      </c>
      <c r="B636" s="3">
        <f>Cleaned_Prepared_Data!M290</f>
        <v>729424.42</v>
      </c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">
        <f>Cleaned_Prepared_Data!F291</f>
        <v>7794</v>
      </c>
      <c r="B637" s="3">
        <f>Cleaned_Prepared_Data!M291</f>
        <v>696261.49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">
        <f>Cleaned_Prepared_Data!F292</f>
        <v>8300</v>
      </c>
      <c r="B638" s="3">
        <f>Cleaned_Prepared_Data!M292</f>
        <v>813316.71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">
        <f>Cleaned_Prepared_Data!F293</f>
        <v>7083</v>
      </c>
      <c r="B639" s="3">
        <f>Cleaned_Prepared_Data!M293</f>
        <v>702068.92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">
        <f>Cleaned_Prepared_Data!F294</f>
        <v>3834</v>
      </c>
      <c r="B640" s="3">
        <f>Cleaned_Prepared_Data!M294</f>
        <v>546223.7</v>
      </c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">
        <f>Cleaned_Prepared_Data!F295</f>
        <v>2358</v>
      </c>
      <c r="B641" s="3">
        <f>Cleaned_Prepared_Data!M295</f>
        <v>533121.26</v>
      </c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">
        <f>Cleaned_Prepared_Data!F296</f>
        <v>1231</v>
      </c>
      <c r="B642" s="3">
        <f>Cleaned_Prepared_Data!M296</f>
        <v>498970.32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">
        <f>Cleaned_Prepared_Data!F297</f>
        <v>1723</v>
      </c>
      <c r="B643" s="3">
        <f>Cleaned_Prepared_Data!M297</f>
        <v>487738.26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">
        <f>Cleaned_Prepared_Data!F298</f>
        <v>5896</v>
      </c>
      <c r="B644" s="3">
        <f>Cleaned_Prepared_Data!M298</f>
        <v>668459.37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">
        <f>Cleaned_Prepared_Data!F299</f>
        <v>5903</v>
      </c>
      <c r="B645" s="3">
        <f>Cleaned_Prepared_Data!M299</f>
        <v>763162.45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">
        <f>Cleaned_Prepared_Data!F300</f>
        <v>4898</v>
      </c>
      <c r="B646" s="3">
        <f>Cleaned_Prepared_Data!M300</f>
        <v>599017.33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">
        <f>Cleaned_Prepared_Data!F301</f>
        <v>1462</v>
      </c>
      <c r="B647" s="3">
        <f>Cleaned_Prepared_Data!M301</f>
        <v>401582.58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">
        <f>Cleaned_Prepared_Data!F302</f>
        <v>8252</v>
      </c>
      <c r="B648" s="3">
        <f>Cleaned_Prepared_Data!M302</f>
        <v>703812.99</v>
      </c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">
        <f>Cleaned_Prepared_Data!F303</f>
        <v>7989</v>
      </c>
      <c r="B649" s="3">
        <f>Cleaned_Prepared_Data!M303</f>
        <v>724346.73</v>
      </c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">
        <f>Cleaned_Prepared_Data!F304</f>
        <v>8268</v>
      </c>
      <c r="B650" s="3">
        <f>Cleaned_Prepared_Data!M304</f>
        <v>730890.01</v>
      </c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">
        <f>Cleaned_Prepared_Data!F305</f>
        <v>8183</v>
      </c>
      <c r="B651" s="3">
        <f>Cleaned_Prepared_Data!M305</f>
        <v>780580.95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">
        <f>Cleaned_Prepared_Data!F306</f>
        <v>6534</v>
      </c>
      <c r="B652" s="3">
        <f>Cleaned_Prepared_Data!M306</f>
        <v>727957.48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">
        <f>Cleaned_Prepared_Data!F307</f>
        <v>5804</v>
      </c>
      <c r="B653" s="3">
        <f>Cleaned_Prepared_Data!M307</f>
        <v>538376</v>
      </c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">
        <f>Cleaned_Prepared_Data!F308</f>
        <v>6301</v>
      </c>
      <c r="B654" s="3">
        <f>Cleaned_Prepared_Data!M308</f>
        <v>665342.49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">
        <f>Cleaned_Prepared_Data!F309</f>
        <v>6399</v>
      </c>
      <c r="B655" s="3">
        <f>Cleaned_Prepared_Data!M309</f>
        <v>651164.18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">
        <f>Cleaned_Prepared_Data!F310</f>
        <v>5759</v>
      </c>
      <c r="B656" s="3">
        <f>Cleaned_Prepared_Data!M310</f>
        <v>628538.3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">
        <f>Cleaned_Prepared_Data!F311</f>
        <v>5285</v>
      </c>
      <c r="B657" s="3">
        <f>Cleaned_Prepared_Data!M311</f>
        <v>536524.84</v>
      </c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">
        <f>Cleaned_Prepared_Data!F312</f>
        <v>5434</v>
      </c>
      <c r="B658" s="3">
        <f>Cleaned_Prepared_Data!M312</f>
        <v>621677.3</v>
      </c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">
        <f>Cleaned_Prepared_Data!F313</f>
        <v>7479</v>
      </c>
      <c r="B659" s="3">
        <f>Cleaned_Prepared_Data!M313</f>
        <v>771129.07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">
        <f>Cleaned_Prepared_Data!F314</f>
        <v>6164</v>
      </c>
      <c r="B660" s="3">
        <f>Cleaned_Prepared_Data!M314</f>
        <v>702052.47</v>
      </c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">
        <f>Cleaned_Prepared_Data!F315</f>
        <v>7973</v>
      </c>
      <c r="B661" s="3">
        <f>Cleaned_Prepared_Data!M315</f>
        <v>688368.46</v>
      </c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">
        <f>Cleaned_Prepared_Data!F316</f>
        <v>6000</v>
      </c>
      <c r="B662" s="3">
        <f>Cleaned_Prepared_Data!M316</f>
        <v>712375.77</v>
      </c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">
        <f>Cleaned_Prepared_Data!F317</f>
        <v>9967</v>
      </c>
      <c r="B663" s="3">
        <f>Cleaned_Prepared_Data!M317</f>
        <v>844710.67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">
        <f>Cleaned_Prepared_Data!F318</f>
        <v>5639</v>
      </c>
      <c r="B664" s="3">
        <f>Cleaned_Prepared_Data!M318</f>
        <v>620264.2</v>
      </c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">
        <f>Cleaned_Prepared_Data!F319</f>
        <v>3466</v>
      </c>
      <c r="B665" s="3">
        <f>Cleaned_Prepared_Data!M319</f>
        <v>536845.42</v>
      </c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">
        <f>Cleaned_Prepared_Data!F320</f>
        <v>7775</v>
      </c>
      <c r="B666" s="3">
        <f>Cleaned_Prepared_Data!M320</f>
        <v>726776.22</v>
      </c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">
        <f>Cleaned_Prepared_Data!F321</f>
        <v>5317</v>
      </c>
      <c r="B667" s="3">
        <f>Cleaned_Prepared_Data!M321</f>
        <v>559660.84</v>
      </c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conditionalFormatting sqref="E6">
    <cfRule type="notContainsBlanks" dxfId="0" priority="1">
      <formula>LEN(TRIM(E6))&gt;0</formula>
    </cfRule>
  </conditionalFormatting>
  <conditionalFormatting sqref="E6">
    <cfRule type="notContainsBlanks" dxfId="1" priority="2">
      <formula>LEN(TRIM(E6))&gt;0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7.43"/>
    <col customWidth="1" min="3" max="3" width="12.57"/>
    <col customWidth="1" min="4" max="4" width="10.86"/>
    <col customWidth="1" min="5" max="5" width="12.0"/>
    <col customWidth="1" min="6" max="6" width="8.71"/>
    <col customWidth="1" min="7" max="7" width="21.0"/>
    <col customWidth="1" min="11" max="11" width="25.0"/>
  </cols>
  <sheetData>
    <row r="1">
      <c r="A1" s="23" t="s">
        <v>125</v>
      </c>
      <c r="B1" s="24"/>
      <c r="C1" s="2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126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5" t="s">
        <v>127</v>
      </c>
      <c r="B4" s="26"/>
      <c r="C4" s="26"/>
      <c r="D4" s="26"/>
      <c r="E4" s="2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7" t="s">
        <v>12</v>
      </c>
      <c r="B7" s="27" t="s">
        <v>4</v>
      </c>
      <c r="C7" s="27" t="s">
        <v>5</v>
      </c>
      <c r="D7" s="27" t="s">
        <v>7</v>
      </c>
      <c r="E7" s="27" t="s">
        <v>10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658832.62</v>
      </c>
      <c r="B8" s="3">
        <v>70389.11</v>
      </c>
      <c r="C8" s="3">
        <v>8302.0</v>
      </c>
      <c r="D8" s="3">
        <v>17.0</v>
      </c>
      <c r="E8" s="3">
        <v>1.0</v>
      </c>
      <c r="F8" s="5"/>
      <c r="G8" s="22" t="s">
        <v>120</v>
      </c>
      <c r="H8" s="5"/>
      <c r="I8" s="5"/>
      <c r="J8" s="5"/>
      <c r="K8" s="5"/>
      <c r="L8" s="5"/>
      <c r="M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634436.0</v>
      </c>
      <c r="B9" s="3">
        <v>43827.89</v>
      </c>
      <c r="C9" s="3">
        <v>8487.0</v>
      </c>
      <c r="D9" s="3">
        <v>23.0</v>
      </c>
      <c r="E9" s="3">
        <v>0.0</v>
      </c>
      <c r="F9" s="5"/>
      <c r="G9" s="3">
        <f t="array" ref="G9:K13">LINEST(A8:A327,{B8:B327,C8:C327,D8:D327,E8:E327},TRUE,TRUE)</f>
        <v>10408.00247</v>
      </c>
      <c r="H9" s="5">
        <v>2154.8730378442347</v>
      </c>
      <c r="I9" s="5">
        <v>29.375720825140725</v>
      </c>
      <c r="J9" s="5">
        <v>1.1253860350408478</v>
      </c>
      <c r="K9" s="5">
        <v>387123.60290375625</v>
      </c>
      <c r="L9" s="5"/>
      <c r="M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678722.06</v>
      </c>
      <c r="B10" s="3">
        <v>59921.75</v>
      </c>
      <c r="C10" s="3">
        <v>9113.0</v>
      </c>
      <c r="D10" s="3">
        <v>20.0</v>
      </c>
      <c r="E10" s="3">
        <v>0.0</v>
      </c>
      <c r="F10" s="5"/>
      <c r="G10" s="3">
        <v>7309.126517922431</v>
      </c>
      <c r="H10" s="5">
        <v>1389.039450286461</v>
      </c>
      <c r="I10" s="5">
        <v>2.759525415652696</v>
      </c>
      <c r="J10" s="5">
        <v>0.1403277237815164</v>
      </c>
      <c r="K10" s="5">
        <v>11502.060073833998</v>
      </c>
      <c r="L10" s="5"/>
      <c r="M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658920.3</v>
      </c>
      <c r="B11" s="3">
        <v>56856.63</v>
      </c>
      <c r="C11" s="3">
        <v>9431.0</v>
      </c>
      <c r="D11" s="3">
        <v>23.0</v>
      </c>
      <c r="E11" s="3">
        <v>0.0</v>
      </c>
      <c r="F11" s="5"/>
      <c r="G11" s="3">
        <v>0.7847669089643362</v>
      </c>
      <c r="H11" s="5">
        <v>48447.71226995456</v>
      </c>
      <c r="I11" s="5" t="e">
        <v>#N/A</v>
      </c>
      <c r="J11" s="5" t="e">
        <v>#N/A</v>
      </c>
      <c r="K11" s="5" t="e">
        <v>#N/A</v>
      </c>
      <c r="L11" s="5"/>
      <c r="M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741341.44</v>
      </c>
      <c r="B12" s="3">
        <v>48412.64</v>
      </c>
      <c r="C12" s="3">
        <v>9545.0</v>
      </c>
      <c r="D12" s="3">
        <v>21.0</v>
      </c>
      <c r="E12" s="3">
        <v>1.0</v>
      </c>
      <c r="F12" s="5"/>
      <c r="G12" s="3">
        <v>287.1324004295475</v>
      </c>
      <c r="H12" s="5">
        <v>315.0</v>
      </c>
      <c r="I12" s="5" t="e">
        <v>#N/A</v>
      </c>
      <c r="J12" s="5" t="e">
        <v>#N/A</v>
      </c>
      <c r="K12" s="5" t="e">
        <v>#N/A</v>
      </c>
      <c r="L12" s="5"/>
      <c r="M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761835.34</v>
      </c>
      <c r="B13" s="3">
        <v>64811.21</v>
      </c>
      <c r="C13" s="3">
        <v>9792.0</v>
      </c>
      <c r="D13" s="3">
        <v>20.0</v>
      </c>
      <c r="E13" s="3">
        <v>0.0</v>
      </c>
      <c r="F13" s="5"/>
      <c r="G13" s="3">
        <v>2.695806657170161E12</v>
      </c>
      <c r="H13" s="5">
        <v>7.39361959620576E11</v>
      </c>
      <c r="I13" s="5" t="e">
        <v>#N/A</v>
      </c>
      <c r="J13" s="5" t="e">
        <v>#N/A</v>
      </c>
      <c r="K13" s="5" t="e">
        <v>#N/A</v>
      </c>
      <c r="L13" s="5"/>
      <c r="M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806615.54</v>
      </c>
      <c r="B14" s="3">
        <v>46213.45</v>
      </c>
      <c r="C14" s="3">
        <v>10616.0</v>
      </c>
      <c r="D14" s="3">
        <v>22.0</v>
      </c>
      <c r="E14" s="3">
        <v>1.0</v>
      </c>
      <c r="F14" s="5"/>
      <c r="G14" s="5"/>
      <c r="H14" s="5"/>
      <c r="I14" s="5"/>
      <c r="J14" s="5"/>
      <c r="K14" s="5"/>
      <c r="L14" s="5"/>
      <c r="M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850164.26</v>
      </c>
      <c r="B15" s="3">
        <v>68148.52</v>
      </c>
      <c r="C15" s="3">
        <v>8567.0</v>
      </c>
      <c r="D15" s="3">
        <v>23.0</v>
      </c>
      <c r="E15" s="3">
        <v>0.0</v>
      </c>
      <c r="F15" s="5"/>
      <c r="G15" s="5"/>
      <c r="H15" s="5"/>
      <c r="I15" s="5"/>
      <c r="J15" s="5"/>
      <c r="K15" s="5"/>
      <c r="L15" s="5"/>
      <c r="M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930581.7</v>
      </c>
      <c r="B16" s="3">
        <v>71838.86</v>
      </c>
      <c r="C16" s="3">
        <v>10979.0</v>
      </c>
      <c r="D16" s="3">
        <v>26.0</v>
      </c>
      <c r="E16" s="3">
        <v>1.0</v>
      </c>
      <c r="F16" s="5"/>
      <c r="G16" s="28" t="s">
        <v>128</v>
      </c>
      <c r="H16" s="29" t="s">
        <v>110</v>
      </c>
      <c r="I16" s="29" t="s">
        <v>129</v>
      </c>
      <c r="J16" s="29" t="s">
        <v>130</v>
      </c>
      <c r="K16" s="29" t="s">
        <v>116</v>
      </c>
      <c r="L16" s="28" t="s">
        <v>131</v>
      </c>
      <c r="M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779010.94</v>
      </c>
      <c r="B17" s="3">
        <v>68133.44</v>
      </c>
      <c r="C17" s="3">
        <v>9459.0</v>
      </c>
      <c r="D17" s="3">
        <v>21.0</v>
      </c>
      <c r="E17" s="3">
        <v>0.0</v>
      </c>
      <c r="F17" s="5"/>
      <c r="G17" s="3" t="s">
        <v>10</v>
      </c>
      <c r="H17" s="3">
        <f>G9</f>
        <v>10408.00247</v>
      </c>
      <c r="I17" s="3">
        <f>G10</f>
        <v>7309.126518</v>
      </c>
      <c r="J17" s="3">
        <f t="shared" ref="J17:J20" si="1">H17/I17</f>
        <v>1.4239735</v>
      </c>
      <c r="K17" s="3">
        <f t="shared" ref="K17:K20" si="2">_xlfn.T.DIST.2T(ABS(J17),$H$12)</f>
        <v>0.1554439569</v>
      </c>
      <c r="L17" s="30" t="str">
        <f t="shared" ref="L17:L20" si="3">IF(K17&lt;0.05,"Yes","No")</f>
        <v>No</v>
      </c>
      <c r="M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723060.76</v>
      </c>
      <c r="B18" s="3">
        <v>34285.21</v>
      </c>
      <c r="C18" s="3">
        <v>9172.0</v>
      </c>
      <c r="D18" s="3">
        <v>22.0</v>
      </c>
      <c r="E18" s="3">
        <v>1.0</v>
      </c>
      <c r="F18" s="5"/>
      <c r="G18" s="3" t="s">
        <v>7</v>
      </c>
      <c r="H18" s="3">
        <f>H9</f>
        <v>2154.873038</v>
      </c>
      <c r="I18" s="3">
        <f>H10</f>
        <v>1389.03945</v>
      </c>
      <c r="J18" s="3">
        <f t="shared" si="1"/>
        <v>1.551340415</v>
      </c>
      <c r="K18" s="3">
        <f t="shared" si="2"/>
        <v>0.1218242169</v>
      </c>
      <c r="L18" s="30" t="str">
        <f t="shared" si="3"/>
        <v>No</v>
      </c>
      <c r="M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910791.94</v>
      </c>
      <c r="B19" s="3">
        <v>67979.88</v>
      </c>
      <c r="C19" s="3">
        <v>11230.0</v>
      </c>
      <c r="D19" s="3">
        <v>28.0</v>
      </c>
      <c r="E19" s="3">
        <v>0.0</v>
      </c>
      <c r="F19" s="5"/>
      <c r="G19" s="3" t="s">
        <v>5</v>
      </c>
      <c r="H19" s="3">
        <f>I9</f>
        <v>29.37572083</v>
      </c>
      <c r="I19" s="3">
        <f>I10</f>
        <v>2.759525416</v>
      </c>
      <c r="J19" s="3">
        <f t="shared" si="1"/>
        <v>10.64520756</v>
      </c>
      <c r="K19" s="31">
        <f t="shared" si="2"/>
        <v>0</v>
      </c>
      <c r="L19" s="30" t="str">
        <f t="shared" si="3"/>
        <v>Yes</v>
      </c>
      <c r="M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922168.6</v>
      </c>
      <c r="B20" s="3">
        <v>71828.26</v>
      </c>
      <c r="C20" s="3">
        <v>12775.0</v>
      </c>
      <c r="D20" s="3">
        <v>30.0</v>
      </c>
      <c r="E20" s="3">
        <v>1.0</v>
      </c>
      <c r="F20" s="5"/>
      <c r="G20" s="3" t="s">
        <v>4</v>
      </c>
      <c r="H20" s="3">
        <f>J9</f>
        <v>1.125386035</v>
      </c>
      <c r="I20" s="3">
        <f>J10</f>
        <v>0.1403277238</v>
      </c>
      <c r="J20" s="3">
        <f t="shared" si="1"/>
        <v>8.019698494</v>
      </c>
      <c r="K20" s="3">
        <f t="shared" si="2"/>
        <v>0</v>
      </c>
      <c r="L20" s="30" t="str">
        <f t="shared" si="3"/>
        <v>Yes</v>
      </c>
      <c r="M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726606.28</v>
      </c>
      <c r="B21" s="3">
        <v>55716.82</v>
      </c>
      <c r="C21" s="3">
        <v>10054.0</v>
      </c>
      <c r="D21" s="3">
        <v>24.0</v>
      </c>
      <c r="E21" s="3">
        <v>0.0</v>
      </c>
      <c r="F21" s="5"/>
      <c r="G21" s="5"/>
      <c r="H21" s="5"/>
      <c r="K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746501.09</v>
      </c>
      <c r="B22" s="3">
        <v>59909.51</v>
      </c>
      <c r="C22" s="3">
        <v>8895.0</v>
      </c>
      <c r="D22" s="3">
        <v>23.0</v>
      </c>
      <c r="E22" s="3">
        <v>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834017.02</v>
      </c>
      <c r="B23" s="3">
        <v>75305.71</v>
      </c>
      <c r="C23" s="3">
        <v>10940.0</v>
      </c>
      <c r="D23" s="3">
        <v>26.0</v>
      </c>
      <c r="E23" s="3">
        <v>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666152.52</v>
      </c>
      <c r="B24" s="3">
        <v>48804.22</v>
      </c>
      <c r="C24" s="3">
        <v>7057.0</v>
      </c>
      <c r="D24" s="3">
        <v>15.0</v>
      </c>
      <c r="E24" s="3">
        <v>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573155.19</v>
      </c>
      <c r="B25" s="3">
        <v>59117.9</v>
      </c>
      <c r="C25" s="3">
        <v>4263.0</v>
      </c>
      <c r="D25" s="3">
        <v>9.0</v>
      </c>
      <c r="E25" s="3">
        <v>0.0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666573.2</v>
      </c>
      <c r="B26" s="3">
        <v>78831.12</v>
      </c>
      <c r="C26" s="3">
        <v>5538.0</v>
      </c>
      <c r="D26" s="3">
        <v>15.0</v>
      </c>
      <c r="E26" s="3">
        <v>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591619.95</v>
      </c>
      <c r="B27" s="3">
        <v>41441.93</v>
      </c>
      <c r="C27" s="3">
        <v>4865.0</v>
      </c>
      <c r="D27" s="3">
        <v>16.0</v>
      </c>
      <c r="E27" s="3">
        <v>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415721.82</v>
      </c>
      <c r="B28" s="3">
        <v>30356.28</v>
      </c>
      <c r="C28" s="3">
        <v>2822.0</v>
      </c>
      <c r="D28" s="3">
        <v>9.0</v>
      </c>
      <c r="E28" s="3">
        <v>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491905.13</v>
      </c>
      <c r="B29" s="3">
        <v>33518.88</v>
      </c>
      <c r="C29" s="3">
        <v>2121.0</v>
      </c>
      <c r="D29" s="3">
        <v>8.0</v>
      </c>
      <c r="E29" s="3">
        <v>0.0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555929.4</v>
      </c>
      <c r="B30" s="3">
        <v>42267.37</v>
      </c>
      <c r="C30" s="3">
        <v>3364.0</v>
      </c>
      <c r="D30" s="3">
        <v>13.0</v>
      </c>
      <c r="E30" s="3">
        <v>1.0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565810.99</v>
      </c>
      <c r="B31" s="3">
        <v>62060.43</v>
      </c>
      <c r="C31" s="3">
        <v>2613.0</v>
      </c>
      <c r="D31" s="3">
        <v>12.0</v>
      </c>
      <c r="E31" s="3">
        <v>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811771.14</v>
      </c>
      <c r="B32" s="3">
        <v>57696.69</v>
      </c>
      <c r="C32" s="3">
        <v>10218.0</v>
      </c>
      <c r="D32" s="3">
        <v>25.0</v>
      </c>
      <c r="E32" s="3">
        <v>0.0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800451.94</v>
      </c>
      <c r="B33" s="3">
        <v>172415.52</v>
      </c>
      <c r="C33" s="3">
        <v>8927.0</v>
      </c>
      <c r="D33" s="3">
        <v>22.0</v>
      </c>
      <c r="E33" s="3">
        <v>0.0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783672.82</v>
      </c>
      <c r="B34" s="3">
        <v>55270.52</v>
      </c>
      <c r="C34" s="3">
        <v>9315.0</v>
      </c>
      <c r="D34" s="3">
        <v>23.0</v>
      </c>
      <c r="E34" s="3">
        <v>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701641.97</v>
      </c>
      <c r="B35" s="3">
        <v>52715.1</v>
      </c>
      <c r="C35" s="3">
        <v>7223.0</v>
      </c>
      <c r="D35" s="3">
        <v>16.0</v>
      </c>
      <c r="E35" s="3">
        <v>0.0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>
        <v>511844.41</v>
      </c>
      <c r="B36" s="3">
        <v>68600.62</v>
      </c>
      <c r="C36" s="3">
        <v>3988.0</v>
      </c>
      <c r="D36" s="3">
        <v>11.0</v>
      </c>
      <c r="E36" s="3">
        <v>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537383.79</v>
      </c>
      <c r="B37" s="3">
        <v>63176.73</v>
      </c>
      <c r="C37" s="3">
        <v>2390.0</v>
      </c>
      <c r="D37" s="3">
        <v>9.0</v>
      </c>
      <c r="E37" s="3">
        <v>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500173.02</v>
      </c>
      <c r="B38" s="3">
        <v>44970.08</v>
      </c>
      <c r="C38" s="3">
        <v>2471.0</v>
      </c>
      <c r="D38" s="3">
        <v>11.0</v>
      </c>
      <c r="E38" s="3">
        <v>1.0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427917.38</v>
      </c>
      <c r="B39" s="3">
        <v>69816.35</v>
      </c>
      <c r="C39" s="3">
        <v>971.0</v>
      </c>
      <c r="D39" s="3">
        <v>5.0</v>
      </c>
      <c r="E39" s="3">
        <v>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641865.03</v>
      </c>
      <c r="B40" s="3">
        <v>54597.83</v>
      </c>
      <c r="C40" s="3">
        <v>9429.0</v>
      </c>
      <c r="D40" s="3">
        <v>21.0</v>
      </c>
      <c r="E40" s="3">
        <v>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799477.76</v>
      </c>
      <c r="B41" s="3">
        <v>73771.91</v>
      </c>
      <c r="C41" s="3">
        <v>11695.0</v>
      </c>
      <c r="D41" s="3">
        <v>25.0</v>
      </c>
      <c r="E41" s="3">
        <v>0.0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798952.17</v>
      </c>
      <c r="B42" s="3">
        <v>74413.88</v>
      </c>
      <c r="C42" s="3">
        <v>9449.0</v>
      </c>
      <c r="D42" s="3">
        <v>23.0</v>
      </c>
      <c r="E42" s="3">
        <v>0.0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800979.78</v>
      </c>
      <c r="B43" s="3">
        <v>52483.77</v>
      </c>
      <c r="C43" s="3">
        <v>10453.0</v>
      </c>
      <c r="D43" s="3">
        <v>25.0</v>
      </c>
      <c r="E43" s="3">
        <v>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820593.93</v>
      </c>
      <c r="B44" s="3">
        <v>75269.87</v>
      </c>
      <c r="C44" s="3">
        <v>8838.0</v>
      </c>
      <c r="D44" s="3">
        <v>21.0</v>
      </c>
      <c r="E44" s="3">
        <v>1.0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718330.53</v>
      </c>
      <c r="B45" s="3">
        <v>61245.41</v>
      </c>
      <c r="C45" s="3">
        <v>8156.0</v>
      </c>
      <c r="D45" s="3">
        <v>19.0</v>
      </c>
      <c r="E45" s="3">
        <v>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736633.4</v>
      </c>
      <c r="B46" s="3">
        <v>93381.26</v>
      </c>
      <c r="C46" s="3">
        <v>7562.0</v>
      </c>
      <c r="D46" s="3">
        <v>19.0</v>
      </c>
      <c r="E46" s="3">
        <v>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>
        <v>828623.85</v>
      </c>
      <c r="B47" s="3">
        <v>65012.19</v>
      </c>
      <c r="C47" s="3">
        <v>9598.0</v>
      </c>
      <c r="D47" s="3">
        <v>24.0</v>
      </c>
      <c r="E47" s="3">
        <v>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>
        <v>592195.85</v>
      </c>
      <c r="B48" s="3">
        <v>40462.94</v>
      </c>
      <c r="C48" s="3">
        <v>3660.0</v>
      </c>
      <c r="D48" s="3">
        <v>11.0</v>
      </c>
      <c r="E48" s="3">
        <v>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>
        <v>532644.46</v>
      </c>
      <c r="B49" s="3">
        <v>46123.88</v>
      </c>
      <c r="C49" s="3">
        <v>3227.0</v>
      </c>
      <c r="D49" s="3">
        <v>10.0</v>
      </c>
      <c r="E49" s="3">
        <v>0.0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657429.18</v>
      </c>
      <c r="B50" s="3">
        <v>68077.54</v>
      </c>
      <c r="C50" s="3">
        <v>3360.0</v>
      </c>
      <c r="D50" s="3">
        <v>14.0</v>
      </c>
      <c r="E50" s="3">
        <v>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605178.0</v>
      </c>
      <c r="B51" s="3">
        <v>64882.14</v>
      </c>
      <c r="C51" s="3">
        <v>3642.0</v>
      </c>
      <c r="D51" s="3">
        <v>13.0</v>
      </c>
      <c r="E51" s="3">
        <v>0.0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595467.6</v>
      </c>
      <c r="B52" s="3">
        <v>138855.51</v>
      </c>
      <c r="C52" s="3">
        <v>5145.0</v>
      </c>
      <c r="D52" s="3">
        <v>17.0</v>
      </c>
      <c r="E52" s="3">
        <v>0.0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599603.4</v>
      </c>
      <c r="B53" s="3">
        <v>63630.21</v>
      </c>
      <c r="C53" s="3">
        <v>4460.0</v>
      </c>
      <c r="D53" s="3">
        <v>14.0</v>
      </c>
      <c r="E53" s="3">
        <v>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614800.09</v>
      </c>
      <c r="B54" s="3">
        <v>50043.65</v>
      </c>
      <c r="C54" s="3">
        <v>3804.0</v>
      </c>
      <c r="D54" s="3">
        <v>11.0</v>
      </c>
      <c r="E54" s="3">
        <v>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585365.73</v>
      </c>
      <c r="B55" s="3">
        <v>42093.84</v>
      </c>
      <c r="C55" s="3">
        <v>4074.0</v>
      </c>
      <c r="D55" s="3">
        <v>15.0</v>
      </c>
      <c r="E55" s="3">
        <v>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622811.74</v>
      </c>
      <c r="B56" s="3">
        <v>46624.05</v>
      </c>
      <c r="C56" s="3">
        <v>5104.0</v>
      </c>
      <c r="D56" s="3">
        <v>11.0</v>
      </c>
      <c r="E56" s="3">
        <v>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603297.57</v>
      </c>
      <c r="B57" s="3">
        <v>49710.29</v>
      </c>
      <c r="C57" s="3">
        <v>5559.0</v>
      </c>
      <c r="D57" s="3">
        <v>14.0</v>
      </c>
      <c r="E57" s="3">
        <v>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625672.86</v>
      </c>
      <c r="B58" s="3">
        <v>48287.85</v>
      </c>
      <c r="C58" s="3">
        <v>5150.0</v>
      </c>
      <c r="D58" s="3">
        <v>12.0</v>
      </c>
      <c r="E58" s="3">
        <v>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773815.14</v>
      </c>
      <c r="B59" s="3">
        <v>65312.49</v>
      </c>
      <c r="C59" s="3">
        <v>7189.0</v>
      </c>
      <c r="D59" s="3">
        <v>19.0</v>
      </c>
      <c r="E59" s="3">
        <v>0.0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463534.25</v>
      </c>
      <c r="B60" s="3">
        <v>53015.46</v>
      </c>
      <c r="C60" s="3">
        <v>3279.0</v>
      </c>
      <c r="D60" s="3">
        <v>9.0</v>
      </c>
      <c r="E60" s="3">
        <v>0.0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746677.75</v>
      </c>
      <c r="B61" s="3">
        <v>99874.01</v>
      </c>
      <c r="C61" s="3">
        <v>5887.0</v>
      </c>
      <c r="D61" s="3">
        <v>14.0</v>
      </c>
      <c r="E61" s="3">
        <v>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720852.5</v>
      </c>
      <c r="B62" s="3">
        <v>81195.5</v>
      </c>
      <c r="C62" s="3">
        <v>5516.0</v>
      </c>
      <c r="D62" s="3">
        <v>14.0</v>
      </c>
      <c r="E62" s="3">
        <v>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487464.91</v>
      </c>
      <c r="B63" s="3">
        <v>27808.6</v>
      </c>
      <c r="C63" s="3">
        <v>2863.0</v>
      </c>
      <c r="D63" s="3">
        <v>13.0</v>
      </c>
      <c r="E63" s="3">
        <v>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518049.26</v>
      </c>
      <c r="B64" s="3">
        <v>19365.06</v>
      </c>
      <c r="C64" s="3">
        <v>2378.0</v>
      </c>
      <c r="D64" s="3">
        <v>12.0</v>
      </c>
      <c r="E64" s="3">
        <v>0.0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500298.48</v>
      </c>
      <c r="B65" s="3">
        <v>59405.68</v>
      </c>
      <c r="C65" s="3">
        <v>2515.0</v>
      </c>
      <c r="D65" s="3">
        <v>12.0</v>
      </c>
      <c r="E65" s="3">
        <v>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617291.15</v>
      </c>
      <c r="B66" s="3">
        <v>118910.48</v>
      </c>
      <c r="C66" s="3">
        <v>4022.0</v>
      </c>
      <c r="D66" s="3">
        <v>11.0</v>
      </c>
      <c r="E66" s="3">
        <v>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553756.43</v>
      </c>
      <c r="B67" s="3">
        <v>52952.12</v>
      </c>
      <c r="C67" s="3">
        <v>4377.0</v>
      </c>
      <c r="D67" s="3">
        <v>14.0</v>
      </c>
      <c r="E67" s="3">
        <v>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>
        <v>749559.71</v>
      </c>
      <c r="B68" s="3">
        <v>74907.98</v>
      </c>
      <c r="C68" s="3">
        <v>5306.0</v>
      </c>
      <c r="D68" s="3">
        <v>16.0</v>
      </c>
      <c r="E68" s="3">
        <v>0.0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>
        <v>615966.48</v>
      </c>
      <c r="B69" s="3">
        <v>37284.66</v>
      </c>
      <c r="C69" s="3">
        <v>3928.0</v>
      </c>
      <c r="D69" s="3">
        <v>12.0</v>
      </c>
      <c r="E69" s="3">
        <v>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>
        <v>572011.2</v>
      </c>
      <c r="B70" s="3">
        <v>50343.19</v>
      </c>
      <c r="C70" s="3">
        <v>3845.0</v>
      </c>
      <c r="D70" s="3">
        <v>9.0</v>
      </c>
      <c r="E70" s="3">
        <v>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>
        <v>761860.19</v>
      </c>
      <c r="B71" s="3">
        <v>74954.47</v>
      </c>
      <c r="C71" s="3">
        <v>6620.0</v>
      </c>
      <c r="D71" s="3">
        <v>17.0</v>
      </c>
      <c r="E71" s="3">
        <v>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>
        <v>784502.68</v>
      </c>
      <c r="B72" s="3">
        <v>70040.31</v>
      </c>
      <c r="C72" s="3">
        <v>9175.0</v>
      </c>
      <c r="D72" s="3">
        <v>23.0</v>
      </c>
      <c r="E72" s="3">
        <v>1.0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>
        <v>717141.55</v>
      </c>
      <c r="B73" s="3">
        <v>51148.69</v>
      </c>
      <c r="C73" s="3">
        <v>7940.0</v>
      </c>
      <c r="D73" s="3">
        <v>18.0</v>
      </c>
      <c r="E73" s="3">
        <v>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>
        <v>685379.08</v>
      </c>
      <c r="B74" s="3">
        <v>79346.1</v>
      </c>
      <c r="C74" s="3">
        <v>9628.0</v>
      </c>
      <c r="D74" s="3">
        <v>20.0</v>
      </c>
      <c r="E74" s="3">
        <v>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>
        <v>740496.65</v>
      </c>
      <c r="B75" s="3">
        <v>42018.4</v>
      </c>
      <c r="C75" s="3">
        <v>8296.0</v>
      </c>
      <c r="D75" s="3">
        <v>17.0</v>
      </c>
      <c r="E75" s="3">
        <v>0.0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>
        <v>661927.14</v>
      </c>
      <c r="B76" s="3">
        <v>70937.24</v>
      </c>
      <c r="C76" s="3">
        <v>3595.0</v>
      </c>
      <c r="D76" s="3">
        <v>11.0</v>
      </c>
      <c r="E76" s="3">
        <v>1.0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>
        <v>479050.5</v>
      </c>
      <c r="B77" s="3">
        <v>36813.45</v>
      </c>
      <c r="C77" s="3">
        <v>2834.0</v>
      </c>
      <c r="D77" s="3">
        <v>11.0</v>
      </c>
      <c r="E77" s="3">
        <v>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>
        <v>605023.87</v>
      </c>
      <c r="B78" s="3">
        <v>60571.82</v>
      </c>
      <c r="C78" s="3">
        <v>3193.0</v>
      </c>
      <c r="D78" s="3">
        <v>7.0</v>
      </c>
      <c r="E78" s="3">
        <v>0.0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>
        <v>674774.09</v>
      </c>
      <c r="B79" s="3">
        <v>55081.16</v>
      </c>
      <c r="C79" s="3">
        <v>5485.0</v>
      </c>
      <c r="D79" s="3">
        <v>12.0</v>
      </c>
      <c r="E79" s="3">
        <v>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>
        <v>616069.41</v>
      </c>
      <c r="B80" s="3">
        <v>46201.46</v>
      </c>
      <c r="C80" s="3">
        <v>5918.0</v>
      </c>
      <c r="D80" s="3">
        <v>13.0</v>
      </c>
      <c r="E80" s="3">
        <v>0.0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>
        <v>630829.94</v>
      </c>
      <c r="B81" s="3">
        <v>53762.92</v>
      </c>
      <c r="C81" s="3">
        <v>6821.0</v>
      </c>
      <c r="D81" s="3">
        <v>19.0</v>
      </c>
      <c r="E81" s="3">
        <v>0.0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>
        <v>788087.68</v>
      </c>
      <c r="B82" s="3">
        <v>70144.78</v>
      </c>
      <c r="C82" s="3">
        <v>6806.0</v>
      </c>
      <c r="D82" s="3">
        <v>20.0</v>
      </c>
      <c r="E82" s="3">
        <v>1.0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>
        <v>680840.36</v>
      </c>
      <c r="B83" s="3">
        <v>58749.63</v>
      </c>
      <c r="C83" s="3">
        <v>8252.0</v>
      </c>
      <c r="D83" s="3">
        <v>20.0</v>
      </c>
      <c r="E83" s="3">
        <v>0.0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>
        <v>643657.47</v>
      </c>
      <c r="B84" s="3">
        <v>56973.18</v>
      </c>
      <c r="C84" s="3">
        <v>6662.0</v>
      </c>
      <c r="D84" s="3">
        <v>15.0</v>
      </c>
      <c r="E84" s="3">
        <v>1.0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>
        <v>691112.6</v>
      </c>
      <c r="B85" s="3">
        <v>54872.82</v>
      </c>
      <c r="C85" s="3">
        <v>5962.0</v>
      </c>
      <c r="D85" s="3">
        <v>12.0</v>
      </c>
      <c r="E85" s="3">
        <v>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>
        <v>776922.17</v>
      </c>
      <c r="B86" s="3">
        <v>80562.81</v>
      </c>
      <c r="C86" s="3">
        <v>7470.0</v>
      </c>
      <c r="D86" s="3">
        <v>16.0</v>
      </c>
      <c r="E86" s="3">
        <v>0.0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>
        <v>636561.34</v>
      </c>
      <c r="B87" s="3">
        <v>77999.9</v>
      </c>
      <c r="C87" s="3">
        <v>5974.0</v>
      </c>
      <c r="D87" s="3">
        <v>14.0</v>
      </c>
      <c r="E87" s="3">
        <v>0.0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>
        <v>621369.58</v>
      </c>
      <c r="B88" s="3">
        <v>60881.01</v>
      </c>
      <c r="C88" s="3">
        <v>5410.0</v>
      </c>
      <c r="D88" s="3">
        <v>15.0</v>
      </c>
      <c r="E88" s="3">
        <v>0.0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>
        <v>682208.01</v>
      </c>
      <c r="B89" s="3">
        <v>60628.38</v>
      </c>
      <c r="C89" s="3">
        <v>4451.0</v>
      </c>
      <c r="D89" s="3">
        <v>10.0</v>
      </c>
      <c r="E89" s="3">
        <v>0.0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>
        <v>727241.86</v>
      </c>
      <c r="B90" s="3">
        <v>72731.14</v>
      </c>
      <c r="C90" s="3">
        <v>4644.0</v>
      </c>
      <c r="D90" s="3">
        <v>15.0</v>
      </c>
      <c r="E90" s="3">
        <v>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>
        <v>569100.78</v>
      </c>
      <c r="B91" s="3">
        <v>36475.71</v>
      </c>
      <c r="C91" s="3">
        <v>3559.0</v>
      </c>
      <c r="D91" s="3">
        <v>8.0</v>
      </c>
      <c r="E91" s="3">
        <v>0.0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>
        <v>574436.29</v>
      </c>
      <c r="B92" s="3">
        <v>55388.11</v>
      </c>
      <c r="C92" s="3">
        <v>3091.0</v>
      </c>
      <c r="D92" s="3">
        <v>7.0</v>
      </c>
      <c r="E92" s="3">
        <v>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>
        <v>611766.72</v>
      </c>
      <c r="B93" s="3">
        <v>88443.77</v>
      </c>
      <c r="C93" s="3">
        <v>4004.0</v>
      </c>
      <c r="D93" s="3">
        <v>11.0</v>
      </c>
      <c r="E93" s="3">
        <v>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>
        <v>614596.32</v>
      </c>
      <c r="B94" s="3">
        <v>78231.91</v>
      </c>
      <c r="C94" s="3">
        <v>3788.0</v>
      </c>
      <c r="D94" s="3">
        <v>11.0</v>
      </c>
      <c r="E94" s="3">
        <v>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>
        <v>450711.92</v>
      </c>
      <c r="B95" s="3">
        <v>18996.32</v>
      </c>
      <c r="C95" s="3">
        <v>1260.0</v>
      </c>
      <c r="D95" s="3">
        <v>9.0</v>
      </c>
      <c r="E95" s="3">
        <v>0.0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>
        <v>711213.46</v>
      </c>
      <c r="B96" s="3">
        <v>50517.94</v>
      </c>
      <c r="C96" s="3">
        <v>7024.0</v>
      </c>
      <c r="D96" s="3">
        <v>18.0</v>
      </c>
      <c r="E96" s="3">
        <v>1.0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>
        <v>627171.9</v>
      </c>
      <c r="B97" s="3">
        <v>141540.29</v>
      </c>
      <c r="C97" s="3">
        <v>5400.0</v>
      </c>
      <c r="D97" s="3">
        <v>12.0</v>
      </c>
      <c r="E97" s="3">
        <v>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>
        <v>739852.58</v>
      </c>
      <c r="B98" s="3">
        <v>82116.19</v>
      </c>
      <c r="C98" s="3">
        <v>5988.0</v>
      </c>
      <c r="D98" s="3">
        <v>17.0</v>
      </c>
      <c r="E98" s="3">
        <v>0.0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>
        <v>586307.22</v>
      </c>
      <c r="B99" s="3">
        <v>31207.51</v>
      </c>
      <c r="C99" s="3">
        <v>3701.0</v>
      </c>
      <c r="D99" s="3">
        <v>11.0</v>
      </c>
      <c r="E99" s="3">
        <v>0.0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>
        <v>585937.48</v>
      </c>
      <c r="B100" s="3">
        <v>38966.59</v>
      </c>
      <c r="C100" s="3">
        <v>4509.0</v>
      </c>
      <c r="D100" s="3">
        <v>14.0</v>
      </c>
      <c r="E100" s="3">
        <v>0.0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>
        <v>753473.55</v>
      </c>
      <c r="B101" s="3">
        <v>67439.3</v>
      </c>
      <c r="C101" s="3">
        <v>6477.0</v>
      </c>
      <c r="D101" s="3">
        <v>16.0</v>
      </c>
      <c r="E101" s="3">
        <v>0.0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>
        <v>838250.32</v>
      </c>
      <c r="B102" s="3">
        <v>86421.88</v>
      </c>
      <c r="C102" s="3">
        <v>7970.0</v>
      </c>
      <c r="D102" s="3">
        <v>17.0</v>
      </c>
      <c r="E102" s="3">
        <v>0.0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>
        <v>607898.12</v>
      </c>
      <c r="B103" s="3">
        <v>9534.65</v>
      </c>
      <c r="C103" s="3">
        <v>6057.0</v>
      </c>
      <c r="D103" s="3">
        <v>15.0</v>
      </c>
      <c r="E103" s="3">
        <v>0.0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>
        <v>691113.62</v>
      </c>
      <c r="B104" s="3">
        <v>61132.07</v>
      </c>
      <c r="C104" s="3">
        <v>6394.0</v>
      </c>
      <c r="D104" s="3">
        <v>19.0</v>
      </c>
      <c r="E104" s="3">
        <v>0.0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>
        <v>735509.4</v>
      </c>
      <c r="B105" s="3">
        <v>78839.39</v>
      </c>
      <c r="C105" s="3">
        <v>5150.0</v>
      </c>
      <c r="D105" s="3">
        <v>13.0</v>
      </c>
      <c r="E105" s="3">
        <v>0.0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>
        <v>605775.33</v>
      </c>
      <c r="B106" s="3">
        <v>38752.8</v>
      </c>
      <c r="C106" s="3">
        <v>4712.0</v>
      </c>
      <c r="D106" s="3">
        <v>15.0</v>
      </c>
      <c r="E106" s="3">
        <v>0.0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>
        <v>675177.68</v>
      </c>
      <c r="B107" s="3">
        <v>55101.1</v>
      </c>
      <c r="C107" s="3">
        <v>5281.0</v>
      </c>
      <c r="D107" s="3">
        <v>11.0</v>
      </c>
      <c r="E107" s="3">
        <v>0.0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>
        <v>635181.35</v>
      </c>
      <c r="B108" s="3">
        <v>53084.76</v>
      </c>
      <c r="C108" s="3">
        <v>3642.0</v>
      </c>
      <c r="D108" s="3">
        <v>12.0</v>
      </c>
      <c r="E108" s="3">
        <v>0.0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>
        <v>586626.94</v>
      </c>
      <c r="B109" s="3">
        <v>63101.59</v>
      </c>
      <c r="C109" s="3">
        <v>4373.0</v>
      </c>
      <c r="D109" s="3">
        <v>14.0</v>
      </c>
      <c r="E109" s="3">
        <v>0.0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>
        <v>740102.64</v>
      </c>
      <c r="B110" s="3">
        <v>90084.4</v>
      </c>
      <c r="C110" s="3">
        <v>6832.0</v>
      </c>
      <c r="D110" s="3">
        <v>14.0</v>
      </c>
      <c r="E110" s="3">
        <v>1.0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>
        <v>625514.04</v>
      </c>
      <c r="B111" s="3">
        <v>32266.64</v>
      </c>
      <c r="C111" s="3">
        <v>2414.0</v>
      </c>
      <c r="D111" s="3">
        <v>7.0</v>
      </c>
      <c r="E111" s="3">
        <v>0.0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>
        <v>727227.2</v>
      </c>
      <c r="B112" s="3">
        <v>57919.07</v>
      </c>
      <c r="C112" s="3">
        <v>7374.0</v>
      </c>
      <c r="D112" s="3">
        <v>21.0</v>
      </c>
      <c r="E112" s="3">
        <v>0.0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>
        <v>783797.89</v>
      </c>
      <c r="B113" s="3">
        <v>74679.35</v>
      </c>
      <c r="C113" s="3">
        <v>8739.0</v>
      </c>
      <c r="D113" s="3">
        <v>21.0</v>
      </c>
      <c r="E113" s="3">
        <v>0.0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>
        <v>795153.84</v>
      </c>
      <c r="B114" s="3">
        <v>64294.23</v>
      </c>
      <c r="C114" s="3">
        <v>6992.0</v>
      </c>
      <c r="D114" s="3">
        <v>14.0</v>
      </c>
      <c r="E114" s="3">
        <v>0.0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>
        <v>665594.94</v>
      </c>
      <c r="B115" s="3">
        <v>31042.03</v>
      </c>
      <c r="C115" s="3">
        <v>7107.0</v>
      </c>
      <c r="D115" s="3">
        <v>15.0</v>
      </c>
      <c r="E115" s="3">
        <v>0.0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>
        <v>709478.39</v>
      </c>
      <c r="B116" s="3">
        <v>75265.02</v>
      </c>
      <c r="C116" s="3">
        <v>6975.0</v>
      </c>
      <c r="D116" s="3">
        <v>20.0</v>
      </c>
      <c r="E116" s="3">
        <v>1.0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>
        <v>664162.49</v>
      </c>
      <c r="B117" s="3">
        <v>69411.7</v>
      </c>
      <c r="C117" s="3">
        <v>5493.0</v>
      </c>
      <c r="D117" s="3">
        <v>13.0</v>
      </c>
      <c r="E117" s="3">
        <v>0.0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>
        <v>633494.21</v>
      </c>
      <c r="B118" s="3">
        <v>51056.15</v>
      </c>
      <c r="C118" s="3">
        <v>5686.0</v>
      </c>
      <c r="D118" s="3">
        <v>13.0</v>
      </c>
      <c r="E118" s="3">
        <v>0.0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>
        <v>713611.16</v>
      </c>
      <c r="B119" s="3">
        <v>52758.01</v>
      </c>
      <c r="C119" s="3">
        <v>4063.0</v>
      </c>
      <c r="D119" s="3">
        <v>12.0</v>
      </c>
      <c r="E119" s="3">
        <v>0.0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>
        <v>778397.97</v>
      </c>
      <c r="B120" s="3">
        <v>61426.04</v>
      </c>
      <c r="C120" s="3">
        <v>8966.0</v>
      </c>
      <c r="D120" s="3">
        <v>22.0</v>
      </c>
      <c r="E120" s="3">
        <v>0.0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>
        <v>873380.02</v>
      </c>
      <c r="B121" s="3">
        <v>80176.34</v>
      </c>
      <c r="C121" s="3">
        <v>9489.0</v>
      </c>
      <c r="D121" s="3">
        <v>22.0</v>
      </c>
      <c r="E121" s="3">
        <v>0.0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>
        <v>697287.9</v>
      </c>
      <c r="B122" s="3">
        <v>33605.18</v>
      </c>
      <c r="C122" s="3">
        <v>9225.0</v>
      </c>
      <c r="D122" s="3">
        <v>23.0</v>
      </c>
      <c r="E122" s="3">
        <v>0.0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>
        <v>718074.79</v>
      </c>
      <c r="B123" s="3">
        <v>25990.54</v>
      </c>
      <c r="C123" s="3">
        <v>9249.0</v>
      </c>
      <c r="D123" s="3">
        <v>23.0</v>
      </c>
      <c r="E123" s="3">
        <v>0.0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>
        <v>714942.43</v>
      </c>
      <c r="B124" s="3">
        <v>43685.14</v>
      </c>
      <c r="C124" s="3">
        <v>7821.0</v>
      </c>
      <c r="D124" s="3">
        <v>17.0</v>
      </c>
      <c r="E124" s="3">
        <v>1.0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>
        <v>820519.04</v>
      </c>
      <c r="B125" s="3">
        <v>57360.01</v>
      </c>
      <c r="C125" s="3">
        <v>8434.0</v>
      </c>
      <c r="D125" s="3">
        <v>19.0</v>
      </c>
      <c r="E125" s="3">
        <v>0.0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>
        <v>684217.32</v>
      </c>
      <c r="B126" s="3">
        <v>42415.47</v>
      </c>
      <c r="C126" s="3">
        <v>8512.0</v>
      </c>
      <c r="D126" s="3">
        <v>18.0</v>
      </c>
      <c r="E126" s="3">
        <v>0.0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>
        <v>735480.19</v>
      </c>
      <c r="B127" s="3">
        <v>54968.98</v>
      </c>
      <c r="C127" s="3">
        <v>7816.0</v>
      </c>
      <c r="D127" s="3">
        <v>19.0</v>
      </c>
      <c r="E127" s="3">
        <v>0.0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>
        <v>509484.81</v>
      </c>
      <c r="B128" s="3">
        <v>43896.13</v>
      </c>
      <c r="C128" s="3">
        <v>3853.0</v>
      </c>
      <c r="D128" s="3">
        <v>13.0</v>
      </c>
      <c r="E128" s="3">
        <v>0.0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>
        <v>654317.09</v>
      </c>
      <c r="B129" s="3">
        <v>83044.17</v>
      </c>
      <c r="C129" s="3">
        <v>3694.0</v>
      </c>
      <c r="D129" s="3">
        <v>14.0</v>
      </c>
      <c r="E129" s="3">
        <v>0.0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>
        <v>557487.26</v>
      </c>
      <c r="B130" s="3">
        <v>48396.13</v>
      </c>
      <c r="C130" s="3">
        <v>4423.0</v>
      </c>
      <c r="D130" s="3">
        <v>15.0</v>
      </c>
      <c r="E130" s="3">
        <v>0.0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>
        <v>441275.42</v>
      </c>
      <c r="B131" s="3">
        <v>19063.48</v>
      </c>
      <c r="C131" s="3">
        <v>1906.0</v>
      </c>
      <c r="D131" s="3">
        <v>10.0</v>
      </c>
      <c r="E131" s="3">
        <v>0.0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>
        <v>914544.17</v>
      </c>
      <c r="B132" s="3">
        <v>61541.21</v>
      </c>
      <c r="C132" s="3">
        <v>10396.0</v>
      </c>
      <c r="D132" s="3">
        <v>25.0</v>
      </c>
      <c r="E132" s="3">
        <v>1.0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>
        <v>842439.67</v>
      </c>
      <c r="B133" s="3">
        <v>44747.0</v>
      </c>
      <c r="C133" s="3">
        <v>11076.0</v>
      </c>
      <c r="D133" s="3">
        <v>27.0</v>
      </c>
      <c r="E133" s="3">
        <v>0.0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>
        <v>842157.92</v>
      </c>
      <c r="B134" s="3">
        <v>56517.9</v>
      </c>
      <c r="C134" s="3">
        <v>9574.0</v>
      </c>
      <c r="D134" s="3">
        <v>20.0</v>
      </c>
      <c r="E134" s="3">
        <v>1.0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>
        <v>697155.3</v>
      </c>
      <c r="B135" s="3">
        <v>37828.5</v>
      </c>
      <c r="C135" s="3">
        <v>8221.0</v>
      </c>
      <c r="D135" s="3">
        <v>19.0</v>
      </c>
      <c r="E135" s="3">
        <v>0.0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>
        <v>849018.3</v>
      </c>
      <c r="B136" s="3">
        <v>66250.53</v>
      </c>
      <c r="C136" s="3">
        <v>10618.0</v>
      </c>
      <c r="D136" s="3">
        <v>27.0</v>
      </c>
      <c r="E136" s="3">
        <v>1.0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>
        <v>801830.35</v>
      </c>
      <c r="B137" s="3">
        <v>68410.93</v>
      </c>
      <c r="C137" s="3">
        <v>10596.0</v>
      </c>
      <c r="D137" s="3">
        <v>25.0</v>
      </c>
      <c r="E137" s="3">
        <v>0.0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>
        <v>725235.28</v>
      </c>
      <c r="B138" s="3">
        <v>50735.63</v>
      </c>
      <c r="C138" s="3">
        <v>9619.0</v>
      </c>
      <c r="D138" s="3">
        <v>19.0</v>
      </c>
      <c r="E138" s="3">
        <v>1.0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>
        <v>811452.72</v>
      </c>
      <c r="B139" s="3">
        <v>66455.8</v>
      </c>
      <c r="C139" s="3">
        <v>10836.0</v>
      </c>
      <c r="D139" s="3">
        <v>25.0</v>
      </c>
      <c r="E139" s="3">
        <v>0.0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>
        <v>527300.13</v>
      </c>
      <c r="B140" s="3">
        <v>70276.28</v>
      </c>
      <c r="C140" s="3">
        <v>3043.0</v>
      </c>
      <c r="D140" s="3">
        <v>9.0</v>
      </c>
      <c r="E140" s="3">
        <v>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>
        <v>400831.65</v>
      </c>
      <c r="B141" s="3">
        <v>22071.64</v>
      </c>
      <c r="C141" s="3">
        <v>1814.0</v>
      </c>
      <c r="D141" s="3">
        <v>8.0</v>
      </c>
      <c r="E141" s="3">
        <v>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>
        <v>593247.25</v>
      </c>
      <c r="B142" s="3">
        <v>52285.45</v>
      </c>
      <c r="C142" s="3">
        <v>3618.0</v>
      </c>
      <c r="D142" s="3">
        <v>11.0</v>
      </c>
      <c r="E142" s="3">
        <v>1.0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>
        <v>529075.95</v>
      </c>
      <c r="B143" s="3">
        <v>70366.76</v>
      </c>
      <c r="C143" s="3">
        <v>1963.0</v>
      </c>
      <c r="D143" s="3">
        <v>8.0</v>
      </c>
      <c r="E143" s="3">
        <v>0.0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>
        <v>633638.03</v>
      </c>
      <c r="B144" s="3">
        <v>71320.66</v>
      </c>
      <c r="C144" s="3">
        <v>7888.0</v>
      </c>
      <c r="D144" s="3">
        <v>20.0</v>
      </c>
      <c r="E144" s="3">
        <v>0.0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>
        <v>743348.84</v>
      </c>
      <c r="B145" s="3">
        <v>75109.67</v>
      </c>
      <c r="C145" s="3">
        <v>6244.0</v>
      </c>
      <c r="D145" s="3">
        <v>15.0</v>
      </c>
      <c r="E145" s="3">
        <v>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>
        <v>758827.64</v>
      </c>
      <c r="B146" s="3">
        <v>69779.0</v>
      </c>
      <c r="C146" s="3">
        <v>6544.0</v>
      </c>
      <c r="D146" s="3">
        <v>18.0</v>
      </c>
      <c r="E146" s="3">
        <v>1.0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>
        <v>646559.71</v>
      </c>
      <c r="B147" s="3">
        <v>44211.95</v>
      </c>
      <c r="C147" s="3">
        <v>5465.0</v>
      </c>
      <c r="D147" s="3">
        <v>12.0</v>
      </c>
      <c r="E147" s="3">
        <v>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>
        <v>715890.53</v>
      </c>
      <c r="B148" s="3">
        <v>51430.31</v>
      </c>
      <c r="C148" s="3">
        <v>6427.0</v>
      </c>
      <c r="D148" s="3">
        <v>14.0</v>
      </c>
      <c r="E148" s="3">
        <v>0.0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>
        <v>715097.57</v>
      </c>
      <c r="B149" s="3">
        <v>45706.49</v>
      </c>
      <c r="C149" s="3">
        <v>6704.0</v>
      </c>
      <c r="D149" s="3">
        <v>15.0</v>
      </c>
      <c r="E149" s="3">
        <v>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>
        <v>682639.28</v>
      </c>
      <c r="B150" s="3">
        <v>44034.6</v>
      </c>
      <c r="C150" s="3">
        <v>5645.0</v>
      </c>
      <c r="D150" s="3">
        <v>18.0</v>
      </c>
      <c r="E150" s="3">
        <v>0.0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>
        <v>695098.51</v>
      </c>
      <c r="B151" s="3">
        <v>50198.12</v>
      </c>
      <c r="C151" s="3">
        <v>6089.0</v>
      </c>
      <c r="D151" s="3">
        <v>19.0</v>
      </c>
      <c r="E151" s="3">
        <v>0.0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>
        <v>577732.57</v>
      </c>
      <c r="B152" s="3">
        <v>70488.2</v>
      </c>
      <c r="C152" s="3">
        <v>4312.0</v>
      </c>
      <c r="D152" s="3">
        <v>12.0</v>
      </c>
      <c r="E152" s="3">
        <v>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>
        <v>537058.33</v>
      </c>
      <c r="B153" s="3">
        <v>50909.27</v>
      </c>
      <c r="C153" s="3">
        <v>3152.0</v>
      </c>
      <c r="D153" s="3">
        <v>13.0</v>
      </c>
      <c r="E153" s="3">
        <v>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>
        <v>601568.87</v>
      </c>
      <c r="B154" s="3">
        <v>53351.7</v>
      </c>
      <c r="C154" s="3">
        <v>4259.0</v>
      </c>
      <c r="D154" s="3">
        <v>15.0</v>
      </c>
      <c r="E154" s="3">
        <v>0.0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>
        <v>570964.84</v>
      </c>
      <c r="B155" s="3">
        <v>60322.4</v>
      </c>
      <c r="C155" s="3">
        <v>3350.0</v>
      </c>
      <c r="D155" s="3">
        <v>12.0</v>
      </c>
      <c r="E155" s="3">
        <v>0.0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>
        <v>614024.91</v>
      </c>
      <c r="B156" s="3">
        <v>51575.68</v>
      </c>
      <c r="C156" s="3">
        <v>5329.0</v>
      </c>
      <c r="D156" s="3">
        <v>17.0</v>
      </c>
      <c r="E156" s="3">
        <v>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>
        <v>712868.35</v>
      </c>
      <c r="B157" s="3">
        <v>43319.94</v>
      </c>
      <c r="C157" s="3">
        <v>6551.0</v>
      </c>
      <c r="D157" s="3">
        <v>13.0</v>
      </c>
      <c r="E157" s="3">
        <v>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>
        <v>696744.15</v>
      </c>
      <c r="B158" s="3">
        <v>47093.55</v>
      </c>
      <c r="C158" s="3">
        <v>5550.0</v>
      </c>
      <c r="D158" s="3">
        <v>12.0</v>
      </c>
      <c r="E158" s="3">
        <v>1.0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>
        <v>725847.99</v>
      </c>
      <c r="B159" s="3">
        <v>71855.09</v>
      </c>
      <c r="C159" s="3">
        <v>5911.0</v>
      </c>
      <c r="D159" s="3">
        <v>15.0</v>
      </c>
      <c r="E159" s="3">
        <v>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>
        <v>785028.25</v>
      </c>
      <c r="B160" s="3">
        <v>75645.23</v>
      </c>
      <c r="C160" s="3">
        <v>9674.0</v>
      </c>
      <c r="D160" s="3">
        <v>21.0</v>
      </c>
      <c r="E160" s="3">
        <v>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>
        <v>698492.67</v>
      </c>
      <c r="B161" s="3">
        <v>64374.75</v>
      </c>
      <c r="C161" s="3">
        <v>6740.0</v>
      </c>
      <c r="D161" s="3">
        <v>18.0</v>
      </c>
      <c r="E161" s="3">
        <v>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>
        <v>685830.24</v>
      </c>
      <c r="B162" s="3">
        <v>61433.84</v>
      </c>
      <c r="C162" s="3">
        <v>7745.0</v>
      </c>
      <c r="D162" s="3">
        <v>16.0</v>
      </c>
      <c r="E162" s="3">
        <v>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>
        <v>702318.94</v>
      </c>
      <c r="B163" s="3">
        <v>42698.14</v>
      </c>
      <c r="C163" s="3">
        <v>7693.0</v>
      </c>
      <c r="D163" s="3">
        <v>19.0</v>
      </c>
      <c r="E163" s="3">
        <v>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>
        <v>700078.32</v>
      </c>
      <c r="B164" s="3">
        <v>86883.31</v>
      </c>
      <c r="C164" s="3">
        <v>6424.0</v>
      </c>
      <c r="D164" s="3">
        <v>19.0</v>
      </c>
      <c r="E164" s="3">
        <v>0.0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>
        <v>602002.32</v>
      </c>
      <c r="B165" s="3">
        <v>41863.08</v>
      </c>
      <c r="C165" s="3">
        <v>5400.0</v>
      </c>
      <c r="D165" s="3">
        <v>11.0</v>
      </c>
      <c r="E165" s="3">
        <v>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>
        <v>724216.07</v>
      </c>
      <c r="B166" s="3">
        <v>56918.16</v>
      </c>
      <c r="C166" s="3">
        <v>7015.0</v>
      </c>
      <c r="D166" s="3">
        <v>18.0</v>
      </c>
      <c r="E166" s="3">
        <v>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>
        <v>620973.03</v>
      </c>
      <c r="B167" s="3">
        <v>23254.57</v>
      </c>
      <c r="C167" s="3">
        <v>3847.0</v>
      </c>
      <c r="D167" s="3">
        <v>12.0</v>
      </c>
      <c r="E167" s="3">
        <v>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>
        <v>650480.06</v>
      </c>
      <c r="B168" s="3">
        <v>41443.41</v>
      </c>
      <c r="C168" s="3">
        <v>7455.0</v>
      </c>
      <c r="D168" s="3">
        <v>16.0</v>
      </c>
      <c r="E168" s="3">
        <v>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>
        <v>778298.88</v>
      </c>
      <c r="B169" s="3">
        <v>48438.85</v>
      </c>
      <c r="C169" s="3">
        <v>6992.0</v>
      </c>
      <c r="D169" s="3">
        <v>20.0</v>
      </c>
      <c r="E169" s="3">
        <v>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>
        <v>677096.71</v>
      </c>
      <c r="B170" s="3">
        <v>57143.3</v>
      </c>
      <c r="C170" s="3">
        <v>8038.0</v>
      </c>
      <c r="D170" s="3">
        <v>17.0</v>
      </c>
      <c r="E170" s="3">
        <v>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>
        <v>692008.64</v>
      </c>
      <c r="B171" s="3">
        <v>66870.62</v>
      </c>
      <c r="C171" s="3">
        <v>6055.0</v>
      </c>
      <c r="D171" s="3">
        <v>19.0</v>
      </c>
      <c r="E171" s="3">
        <v>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>
        <v>825797.91</v>
      </c>
      <c r="B172" s="3">
        <v>72150.53</v>
      </c>
      <c r="C172" s="3">
        <v>9323.0</v>
      </c>
      <c r="D172" s="3">
        <v>22.0</v>
      </c>
      <c r="E172" s="3">
        <v>1.0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>
        <v>706285.52</v>
      </c>
      <c r="B173" s="3">
        <v>35303.3</v>
      </c>
      <c r="C173" s="3">
        <v>8789.0</v>
      </c>
      <c r="D173" s="3">
        <v>22.0</v>
      </c>
      <c r="E173" s="3">
        <v>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>
        <v>665534.7</v>
      </c>
      <c r="B174" s="3">
        <v>30301.86</v>
      </c>
      <c r="C174" s="3">
        <v>6939.0</v>
      </c>
      <c r="D174" s="3">
        <v>16.0</v>
      </c>
      <c r="E174" s="3">
        <v>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>
        <v>820729.29</v>
      </c>
      <c r="B175" s="3">
        <v>78432.14</v>
      </c>
      <c r="C175" s="3">
        <v>9440.0</v>
      </c>
      <c r="D175" s="3">
        <v>23.0</v>
      </c>
      <c r="E175" s="3">
        <v>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>
        <v>739831.73</v>
      </c>
      <c r="B176" s="3">
        <v>62059.18</v>
      </c>
      <c r="C176" s="3">
        <v>9374.0</v>
      </c>
      <c r="D176" s="3">
        <v>25.0</v>
      </c>
      <c r="E176" s="3">
        <v>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>
        <v>593637.14</v>
      </c>
      <c r="B177" s="3">
        <v>32834.48</v>
      </c>
      <c r="C177" s="3">
        <v>7576.0</v>
      </c>
      <c r="D177" s="3">
        <v>15.0</v>
      </c>
      <c r="E177" s="3">
        <v>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>
        <v>769702.76</v>
      </c>
      <c r="B178" s="3">
        <v>50825.08</v>
      </c>
      <c r="C178" s="3">
        <v>8949.0</v>
      </c>
      <c r="D178" s="3">
        <v>21.0</v>
      </c>
      <c r="E178" s="3">
        <v>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>
        <v>679731.57</v>
      </c>
      <c r="B179" s="3">
        <v>36606.51</v>
      </c>
      <c r="C179" s="3">
        <v>7671.0</v>
      </c>
      <c r="D179" s="3">
        <v>18.0</v>
      </c>
      <c r="E179" s="3">
        <v>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>
        <v>780344.18</v>
      </c>
      <c r="B180" s="3">
        <v>65237.79</v>
      </c>
      <c r="C180" s="3">
        <v>8741.0</v>
      </c>
      <c r="D180" s="3">
        <v>20.0</v>
      </c>
      <c r="E180" s="3">
        <v>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>
        <v>721364.11</v>
      </c>
      <c r="B181" s="3">
        <v>43645.98</v>
      </c>
      <c r="C181" s="3">
        <v>9480.0</v>
      </c>
      <c r="D181" s="3">
        <v>22.0</v>
      </c>
      <c r="E181" s="3">
        <v>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>
        <v>758138.29</v>
      </c>
      <c r="B182" s="3">
        <v>68040.15</v>
      </c>
      <c r="C182" s="3">
        <v>9826.0</v>
      </c>
      <c r="D182" s="3">
        <v>20.0</v>
      </c>
      <c r="E182" s="3">
        <v>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>
        <v>804264.0</v>
      </c>
      <c r="B183" s="3">
        <v>63043.94</v>
      </c>
      <c r="C183" s="3">
        <v>10402.0</v>
      </c>
      <c r="D183" s="3">
        <v>23.0</v>
      </c>
      <c r="E183" s="3">
        <v>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">
        <v>887537.75</v>
      </c>
      <c r="B184" s="3">
        <v>67494.09</v>
      </c>
      <c r="C184" s="3">
        <v>12361.0</v>
      </c>
      <c r="D184" s="3">
        <v>24.0</v>
      </c>
      <c r="E184" s="3">
        <v>1.0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">
        <v>783582.0</v>
      </c>
      <c r="B185" s="3">
        <v>29389.32</v>
      </c>
      <c r="C185" s="3">
        <v>7925.0</v>
      </c>
      <c r="D185" s="3">
        <v>21.0</v>
      </c>
      <c r="E185" s="3">
        <v>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">
        <v>781955.52</v>
      </c>
      <c r="B186" s="3">
        <v>40535.09</v>
      </c>
      <c r="C186" s="3">
        <v>8870.0</v>
      </c>
      <c r="D186" s="3">
        <v>21.0</v>
      </c>
      <c r="E186" s="3">
        <v>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">
        <v>898031.04</v>
      </c>
      <c r="B187" s="3">
        <v>74881.56</v>
      </c>
      <c r="C187" s="3">
        <v>9999.0</v>
      </c>
      <c r="D187" s="3">
        <v>20.0</v>
      </c>
      <c r="E187" s="3">
        <v>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">
        <v>855341.28</v>
      </c>
      <c r="B188" s="3">
        <v>68491.11</v>
      </c>
      <c r="C188" s="3">
        <v>11154.0</v>
      </c>
      <c r="D188" s="3">
        <v>24.0</v>
      </c>
      <c r="E188" s="3">
        <v>1.0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">
        <v>751393.88</v>
      </c>
      <c r="B189" s="3">
        <v>45209.25</v>
      </c>
      <c r="C189" s="3">
        <v>9287.0</v>
      </c>
      <c r="D189" s="3">
        <v>22.0</v>
      </c>
      <c r="E189" s="3">
        <v>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">
        <v>761077.08</v>
      </c>
      <c r="B190" s="3">
        <v>63010.23</v>
      </c>
      <c r="C190" s="3">
        <v>9812.0</v>
      </c>
      <c r="D190" s="3">
        <v>24.0</v>
      </c>
      <c r="E190" s="3">
        <v>1.0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">
        <v>819660.59</v>
      </c>
      <c r="B191" s="3">
        <v>57948.88</v>
      </c>
      <c r="C191" s="3">
        <v>10741.0</v>
      </c>
      <c r="D191" s="3">
        <v>25.0</v>
      </c>
      <c r="E191" s="3">
        <v>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">
        <v>681855.56</v>
      </c>
      <c r="B192" s="3">
        <v>71941.62</v>
      </c>
      <c r="C192" s="3">
        <v>6084.0</v>
      </c>
      <c r="D192" s="3">
        <v>13.0</v>
      </c>
      <c r="E192" s="3">
        <v>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">
        <v>678311.17</v>
      </c>
      <c r="B193" s="3">
        <v>57147.88</v>
      </c>
      <c r="C193" s="3">
        <v>5252.0</v>
      </c>
      <c r="D193" s="3">
        <v>15.0</v>
      </c>
      <c r="E193" s="3">
        <v>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">
        <v>765906.95</v>
      </c>
      <c r="B194" s="3">
        <v>48031.74</v>
      </c>
      <c r="C194" s="3">
        <v>6516.0</v>
      </c>
      <c r="D194" s="3">
        <v>14.0</v>
      </c>
      <c r="E194" s="3">
        <v>1.0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">
        <v>712546.38</v>
      </c>
      <c r="B195" s="3">
        <v>72784.8</v>
      </c>
      <c r="C195" s="3">
        <v>7932.0</v>
      </c>
      <c r="D195" s="3">
        <v>20.0</v>
      </c>
      <c r="E195" s="3">
        <v>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">
        <v>625993.83</v>
      </c>
      <c r="B196" s="3">
        <v>71641.9</v>
      </c>
      <c r="C196" s="3">
        <v>3506.0</v>
      </c>
      <c r="D196" s="3">
        <v>11.0</v>
      </c>
      <c r="E196" s="3">
        <v>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">
        <v>550962.93</v>
      </c>
      <c r="B197" s="3">
        <v>55788.61</v>
      </c>
      <c r="C197" s="3">
        <v>2312.0</v>
      </c>
      <c r="D197" s="3">
        <v>10.0</v>
      </c>
      <c r="E197" s="3">
        <v>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">
        <v>443275.59</v>
      </c>
      <c r="B198" s="3">
        <v>37705.88</v>
      </c>
      <c r="C198" s="3">
        <v>1268.0</v>
      </c>
      <c r="D198" s="3">
        <v>9.0</v>
      </c>
      <c r="E198" s="3">
        <v>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">
        <v>554012.07</v>
      </c>
      <c r="B199" s="3">
        <v>54966.18</v>
      </c>
      <c r="C199" s="3">
        <v>4423.0</v>
      </c>
      <c r="D199" s="3">
        <v>13.0</v>
      </c>
      <c r="E199" s="3">
        <v>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">
        <v>643428.85</v>
      </c>
      <c r="B200" s="3">
        <v>81796.74</v>
      </c>
      <c r="C200" s="3">
        <v>6177.0</v>
      </c>
      <c r="D200" s="3">
        <v>14.0</v>
      </c>
      <c r="E200" s="3">
        <v>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">
        <v>611924.27</v>
      </c>
      <c r="B201" s="3">
        <v>51133.43</v>
      </c>
      <c r="C201" s="3">
        <v>5150.0</v>
      </c>
      <c r="D201" s="3">
        <v>12.0</v>
      </c>
      <c r="E201" s="3">
        <v>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">
        <v>559422.02</v>
      </c>
      <c r="B202" s="3">
        <v>40220.18</v>
      </c>
      <c r="C202" s="3">
        <v>3783.0</v>
      </c>
      <c r="D202" s="3">
        <v>14.0</v>
      </c>
      <c r="E202" s="3">
        <v>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">
        <v>449465.06</v>
      </c>
      <c r="B203" s="3">
        <v>41657.64</v>
      </c>
      <c r="C203" s="3">
        <v>3135.0</v>
      </c>
      <c r="D203" s="3">
        <v>7.0</v>
      </c>
      <c r="E203" s="3">
        <v>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">
        <v>691447.43</v>
      </c>
      <c r="B204" s="3">
        <v>71851.45</v>
      </c>
      <c r="C204" s="3">
        <v>4970.0</v>
      </c>
      <c r="D204" s="3">
        <v>11.0</v>
      </c>
      <c r="E204" s="3">
        <v>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">
        <v>574066.61</v>
      </c>
      <c r="B205" s="3">
        <v>54002.83</v>
      </c>
      <c r="C205" s="3">
        <v>4366.0</v>
      </c>
      <c r="D205" s="3">
        <v>15.0</v>
      </c>
      <c r="E205" s="3">
        <v>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">
        <v>578949.84</v>
      </c>
      <c r="B206" s="3">
        <v>54479.33</v>
      </c>
      <c r="C206" s="3">
        <v>5012.0</v>
      </c>
      <c r="D206" s="3">
        <v>13.0</v>
      </c>
      <c r="E206" s="3">
        <v>1.0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">
        <v>735786.64</v>
      </c>
      <c r="B207" s="3">
        <v>61391.8</v>
      </c>
      <c r="C207" s="3">
        <v>5575.0</v>
      </c>
      <c r="D207" s="3">
        <v>18.0</v>
      </c>
      <c r="E207" s="3">
        <v>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">
        <v>598904.9</v>
      </c>
      <c r="B208" s="3">
        <v>22312.93</v>
      </c>
      <c r="C208" s="3">
        <v>5955.0</v>
      </c>
      <c r="D208" s="3">
        <v>13.0</v>
      </c>
      <c r="E208" s="3">
        <v>1.0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">
        <v>787715.51</v>
      </c>
      <c r="B209" s="3">
        <v>78111.97</v>
      </c>
      <c r="C209" s="3">
        <v>6389.0</v>
      </c>
      <c r="D209" s="3">
        <v>13.0</v>
      </c>
      <c r="E209" s="3">
        <v>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">
        <v>607084.92</v>
      </c>
      <c r="B210" s="3">
        <v>35203.23</v>
      </c>
      <c r="C210" s="3">
        <v>6896.0</v>
      </c>
      <c r="D210" s="3">
        <v>14.0</v>
      </c>
      <c r="E210" s="3">
        <v>1.0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">
        <v>650795.49</v>
      </c>
      <c r="B211" s="3">
        <v>64104.28</v>
      </c>
      <c r="C211" s="3">
        <v>6015.0</v>
      </c>
      <c r="D211" s="3">
        <v>15.0</v>
      </c>
      <c r="E211" s="3">
        <v>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">
        <v>825060.52</v>
      </c>
      <c r="B212" s="3">
        <v>92090.14</v>
      </c>
      <c r="C212" s="3">
        <v>9476.0</v>
      </c>
      <c r="D212" s="3">
        <v>24.0</v>
      </c>
      <c r="E212" s="3">
        <v>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">
        <v>795464.47</v>
      </c>
      <c r="B213" s="3">
        <v>54300.87</v>
      </c>
      <c r="C213" s="3">
        <v>7875.0</v>
      </c>
      <c r="D213" s="3">
        <v>19.0</v>
      </c>
      <c r="E213" s="3">
        <v>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">
        <v>671868.59</v>
      </c>
      <c r="B214" s="3">
        <v>37983.35</v>
      </c>
      <c r="C214" s="3">
        <v>9283.0</v>
      </c>
      <c r="D214" s="3">
        <v>19.0</v>
      </c>
      <c r="E214" s="3">
        <v>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">
        <v>675917.63</v>
      </c>
      <c r="B215" s="3">
        <v>56413.83</v>
      </c>
      <c r="C215" s="3">
        <v>8303.0</v>
      </c>
      <c r="D215" s="3">
        <v>18.0</v>
      </c>
      <c r="E215" s="3">
        <v>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">
        <v>810446.53</v>
      </c>
      <c r="B216" s="3">
        <v>63457.19</v>
      </c>
      <c r="C216" s="3">
        <v>10125.0</v>
      </c>
      <c r="D216" s="3">
        <v>24.0</v>
      </c>
      <c r="E216" s="3">
        <v>1.0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">
        <v>691288.19</v>
      </c>
      <c r="B217" s="3">
        <v>62949.7</v>
      </c>
      <c r="C217" s="3">
        <v>9458.0</v>
      </c>
      <c r="D217" s="3">
        <v>19.0</v>
      </c>
      <c r="E217" s="3">
        <v>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">
        <v>946833.54</v>
      </c>
      <c r="B218" s="3">
        <v>107970.19</v>
      </c>
      <c r="C218" s="3">
        <v>12870.0</v>
      </c>
      <c r="D218" s="3">
        <v>31.0</v>
      </c>
      <c r="E218" s="3">
        <v>1.0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">
        <v>761963.23</v>
      </c>
      <c r="B219" s="3">
        <v>49405.75</v>
      </c>
      <c r="C219" s="3">
        <v>9752.0</v>
      </c>
      <c r="D219" s="3">
        <v>21.0</v>
      </c>
      <c r="E219" s="3">
        <v>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">
        <v>812152.6</v>
      </c>
      <c r="B220" s="3">
        <v>50887.46</v>
      </c>
      <c r="C220" s="3">
        <v>9505.0</v>
      </c>
      <c r="D220" s="3">
        <v>25.0</v>
      </c>
      <c r="E220" s="3">
        <v>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">
        <v>804975.5</v>
      </c>
      <c r="B221" s="3">
        <v>41819.45</v>
      </c>
      <c r="C221" s="3">
        <v>9412.0</v>
      </c>
      <c r="D221" s="3">
        <v>22.0</v>
      </c>
      <c r="E221" s="3">
        <v>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">
        <v>752321.72</v>
      </c>
      <c r="B222" s="3">
        <v>35296.54</v>
      </c>
      <c r="C222" s="3">
        <v>9644.0</v>
      </c>
      <c r="D222" s="3">
        <v>22.0</v>
      </c>
      <c r="E222" s="3">
        <v>0.0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">
        <v>836908.24</v>
      </c>
      <c r="B223" s="3">
        <v>47391.09</v>
      </c>
      <c r="C223" s="3">
        <v>11224.0</v>
      </c>
      <c r="D223" s="3">
        <v>25.0</v>
      </c>
      <c r="E223" s="3">
        <v>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">
        <v>674289.1</v>
      </c>
      <c r="B224" s="3">
        <v>69180.54</v>
      </c>
      <c r="C224" s="3">
        <v>5394.0</v>
      </c>
      <c r="D224" s="3">
        <v>12.0</v>
      </c>
      <c r="E224" s="3">
        <v>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">
        <v>622892.42</v>
      </c>
      <c r="B225" s="3">
        <v>33987.33</v>
      </c>
      <c r="C225" s="3">
        <v>5014.0</v>
      </c>
      <c r="D225" s="3">
        <v>17.0</v>
      </c>
      <c r="E225" s="3">
        <v>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">
        <v>673348.56</v>
      </c>
      <c r="B226" s="3">
        <v>58785.33</v>
      </c>
      <c r="C226" s="3">
        <v>4467.0</v>
      </c>
      <c r="D226" s="3">
        <v>14.0</v>
      </c>
      <c r="E226" s="3">
        <v>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">
        <v>606278.3</v>
      </c>
      <c r="B227" s="3">
        <v>16451.85</v>
      </c>
      <c r="C227" s="3">
        <v>4678.0</v>
      </c>
      <c r="D227" s="3">
        <v>11.0</v>
      </c>
      <c r="E227" s="3">
        <v>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">
        <v>712219.81</v>
      </c>
      <c r="B228" s="3">
        <v>53367.73</v>
      </c>
      <c r="C228" s="3">
        <v>7291.0</v>
      </c>
      <c r="D228" s="3">
        <v>18.0</v>
      </c>
      <c r="E228" s="3">
        <v>1.0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">
        <v>672670.54</v>
      </c>
      <c r="B229" s="3">
        <v>27194.64</v>
      </c>
      <c r="C229" s="3">
        <v>7404.0</v>
      </c>
      <c r="D229" s="3">
        <v>18.0</v>
      </c>
      <c r="E229" s="3">
        <v>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">
        <v>732667.92</v>
      </c>
      <c r="B230" s="3">
        <v>66962.74</v>
      </c>
      <c r="C230" s="3">
        <v>7880.0</v>
      </c>
      <c r="D230" s="3">
        <v>19.0</v>
      </c>
      <c r="E230" s="3">
        <v>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">
        <v>723531.4</v>
      </c>
      <c r="B231" s="3">
        <v>73540.99</v>
      </c>
      <c r="C231" s="3">
        <v>8773.0</v>
      </c>
      <c r="D231" s="3">
        <v>21.0</v>
      </c>
      <c r="E231" s="3">
        <v>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">
        <v>641564.6</v>
      </c>
      <c r="B232" s="3">
        <v>68212.29</v>
      </c>
      <c r="C232" s="3">
        <v>4713.0</v>
      </c>
      <c r="D232" s="3">
        <v>15.0</v>
      </c>
      <c r="E232" s="3">
        <v>1.0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">
        <v>536545.49</v>
      </c>
      <c r="B233" s="3">
        <v>57225.98</v>
      </c>
      <c r="C233" s="3">
        <v>2842.0</v>
      </c>
      <c r="D233" s="3">
        <v>10.0</v>
      </c>
      <c r="E233" s="3">
        <v>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">
        <v>527681.56</v>
      </c>
      <c r="B234" s="3">
        <v>42932.02</v>
      </c>
      <c r="C234" s="3">
        <v>3872.0</v>
      </c>
      <c r="D234" s="3">
        <v>12.0</v>
      </c>
      <c r="E234" s="3">
        <v>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">
        <v>529598.94</v>
      </c>
      <c r="B235" s="3">
        <v>39341.45</v>
      </c>
      <c r="C235" s="3">
        <v>1375.0</v>
      </c>
      <c r="D235" s="3">
        <v>5.0</v>
      </c>
      <c r="E235" s="3">
        <v>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">
        <v>570963.31</v>
      </c>
      <c r="B236" s="3">
        <v>37324.23</v>
      </c>
      <c r="C236" s="3">
        <v>5957.0</v>
      </c>
      <c r="D236" s="3">
        <v>12.0</v>
      </c>
      <c r="E236" s="3">
        <v>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">
        <v>870937.4</v>
      </c>
      <c r="B237" s="3">
        <v>113736.0</v>
      </c>
      <c r="C237" s="3">
        <v>8961.0</v>
      </c>
      <c r="D237" s="3">
        <v>24.0</v>
      </c>
      <c r="E237" s="3">
        <v>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">
        <v>596969.27</v>
      </c>
      <c r="B238" s="3">
        <v>33173.95</v>
      </c>
      <c r="C238" s="3">
        <v>6545.0</v>
      </c>
      <c r="D238" s="3">
        <v>15.0</v>
      </c>
      <c r="E238" s="3">
        <v>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">
        <v>647512.85</v>
      </c>
      <c r="B239" s="3">
        <v>25818.08</v>
      </c>
      <c r="C239" s="3">
        <v>5457.0</v>
      </c>
      <c r="D239" s="3">
        <v>11.0</v>
      </c>
      <c r="E239" s="3">
        <v>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">
        <v>658072.14</v>
      </c>
      <c r="B240" s="3">
        <v>47241.92</v>
      </c>
      <c r="C240" s="3">
        <v>4264.0</v>
      </c>
      <c r="D240" s="3">
        <v>13.0</v>
      </c>
      <c r="E240" s="3">
        <v>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">
        <v>723305.11</v>
      </c>
      <c r="B241" s="3">
        <v>61650.79</v>
      </c>
      <c r="C241" s="3">
        <v>5321.0</v>
      </c>
      <c r="D241" s="3">
        <v>17.0</v>
      </c>
      <c r="E241" s="3">
        <v>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">
        <v>640666.53</v>
      </c>
      <c r="B242" s="3">
        <v>62582.71</v>
      </c>
      <c r="C242" s="3">
        <v>5479.0</v>
      </c>
      <c r="D242" s="3">
        <v>16.0</v>
      </c>
      <c r="E242" s="3">
        <v>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">
        <v>670629.48</v>
      </c>
      <c r="B243" s="3">
        <v>47944.14</v>
      </c>
      <c r="C243" s="3">
        <v>6169.0</v>
      </c>
      <c r="D243" s="3">
        <v>17.0</v>
      </c>
      <c r="E243" s="3">
        <v>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">
        <v>721079.35</v>
      </c>
      <c r="B244" s="3">
        <v>46495.4</v>
      </c>
      <c r="C244" s="3">
        <v>9908.0</v>
      </c>
      <c r="D244" s="3">
        <v>22.0</v>
      </c>
      <c r="E244" s="3">
        <v>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">
        <v>810355.02</v>
      </c>
      <c r="B245" s="3">
        <v>72961.95</v>
      </c>
      <c r="C245" s="3">
        <v>9996.0</v>
      </c>
      <c r="D245" s="3">
        <v>22.0</v>
      </c>
      <c r="E245" s="3">
        <v>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">
        <v>761919.25</v>
      </c>
      <c r="B246" s="3">
        <v>59060.05</v>
      </c>
      <c r="C246" s="3">
        <v>9702.0</v>
      </c>
      <c r="D246" s="3">
        <v>23.0</v>
      </c>
      <c r="E246" s="3">
        <v>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">
        <v>737070.18</v>
      </c>
      <c r="B247" s="3">
        <v>26248.1</v>
      </c>
      <c r="C247" s="3">
        <v>9314.0</v>
      </c>
      <c r="D247" s="3">
        <v>21.0</v>
      </c>
      <c r="E247" s="3">
        <v>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">
        <v>776992.93</v>
      </c>
      <c r="B248" s="3">
        <v>69900.12</v>
      </c>
      <c r="C248" s="3">
        <v>8055.0</v>
      </c>
      <c r="D248" s="3">
        <v>22.0</v>
      </c>
      <c r="E248" s="3">
        <v>1.0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">
        <v>676337.41</v>
      </c>
      <c r="B249" s="3">
        <v>51781.6</v>
      </c>
      <c r="C249" s="3">
        <v>5648.0</v>
      </c>
      <c r="D249" s="3">
        <v>13.0</v>
      </c>
      <c r="E249" s="3">
        <v>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">
        <v>828219.67</v>
      </c>
      <c r="B250" s="3">
        <v>70799.64</v>
      </c>
      <c r="C250" s="3">
        <v>10076.0</v>
      </c>
      <c r="D250" s="3">
        <v>24.0</v>
      </c>
      <c r="E250" s="3">
        <v>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">
        <v>763159.92</v>
      </c>
      <c r="B251" s="3">
        <v>53546.34</v>
      </c>
      <c r="C251" s="3">
        <v>8004.0</v>
      </c>
      <c r="D251" s="3">
        <v>21.0</v>
      </c>
      <c r="E251" s="3">
        <v>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">
        <v>802001.68</v>
      </c>
      <c r="B252" s="3">
        <v>76942.2</v>
      </c>
      <c r="C252" s="3">
        <v>8934.0</v>
      </c>
      <c r="D252" s="3">
        <v>20.0</v>
      </c>
      <c r="E252" s="3">
        <v>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">
        <v>750471.34</v>
      </c>
      <c r="B253" s="3">
        <v>48060.78</v>
      </c>
      <c r="C253" s="3">
        <v>8733.0</v>
      </c>
      <c r="D253" s="3">
        <v>20.0</v>
      </c>
      <c r="E253" s="3">
        <v>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">
        <v>679230.86</v>
      </c>
      <c r="B254" s="3">
        <v>57390.04</v>
      </c>
      <c r="C254" s="3">
        <v>7374.0</v>
      </c>
      <c r="D254" s="3">
        <v>21.0</v>
      </c>
      <c r="E254" s="3">
        <v>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">
        <v>679888.74</v>
      </c>
      <c r="B255" s="3">
        <v>21536.18</v>
      </c>
      <c r="C255" s="3">
        <v>8119.0</v>
      </c>
      <c r="D255" s="3">
        <v>20.0</v>
      </c>
      <c r="E255" s="3">
        <v>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">
        <v>606783.67</v>
      </c>
      <c r="B256" s="3">
        <v>40923.67</v>
      </c>
      <c r="C256" s="3">
        <v>3875.0</v>
      </c>
      <c r="D256" s="3">
        <v>10.0</v>
      </c>
      <c r="E256" s="3">
        <v>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">
        <v>642751.42</v>
      </c>
      <c r="B257" s="3">
        <v>72932.55</v>
      </c>
      <c r="C257" s="3">
        <v>5765.0</v>
      </c>
      <c r="D257" s="3">
        <v>17.0</v>
      </c>
      <c r="E257" s="3">
        <v>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">
        <v>647953.78</v>
      </c>
      <c r="B258" s="3">
        <v>38361.93</v>
      </c>
      <c r="C258" s="3">
        <v>6322.0</v>
      </c>
      <c r="D258" s="3">
        <v>15.0</v>
      </c>
      <c r="E258" s="3">
        <v>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">
        <v>729440.45</v>
      </c>
      <c r="B259" s="3">
        <v>97480.94</v>
      </c>
      <c r="C259" s="3">
        <v>6840.0</v>
      </c>
      <c r="D259" s="3">
        <v>14.0</v>
      </c>
      <c r="E259" s="3">
        <v>0.0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">
        <v>764949.0</v>
      </c>
      <c r="B260" s="3">
        <v>81801.8</v>
      </c>
      <c r="C260" s="3">
        <v>6782.0</v>
      </c>
      <c r="D260" s="3">
        <v>16.0</v>
      </c>
      <c r="E260" s="3">
        <v>0.0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">
        <v>799046.94</v>
      </c>
      <c r="B261" s="3">
        <v>63582.11</v>
      </c>
      <c r="C261" s="3">
        <v>6856.0</v>
      </c>
      <c r="D261" s="3">
        <v>17.0</v>
      </c>
      <c r="E261" s="3">
        <v>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">
        <v>720079.54</v>
      </c>
      <c r="B262" s="3">
        <v>75412.74</v>
      </c>
      <c r="C262" s="3">
        <v>5641.0</v>
      </c>
      <c r="D262" s="3">
        <v>13.0</v>
      </c>
      <c r="E262" s="3">
        <v>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">
        <v>612390.14</v>
      </c>
      <c r="B263" s="3">
        <v>36290.08</v>
      </c>
      <c r="C263" s="3">
        <v>5787.0</v>
      </c>
      <c r="D263" s="3">
        <v>17.0</v>
      </c>
      <c r="E263" s="3">
        <v>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">
        <v>840108.12</v>
      </c>
      <c r="B264" s="3">
        <v>65272.58</v>
      </c>
      <c r="C264" s="3">
        <v>8165.0</v>
      </c>
      <c r="D264" s="3">
        <v>19.0</v>
      </c>
      <c r="E264" s="3">
        <v>1.0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">
        <v>697888.09</v>
      </c>
      <c r="B265" s="3">
        <v>28670.43</v>
      </c>
      <c r="C265" s="3">
        <v>7574.0</v>
      </c>
      <c r="D265" s="3">
        <v>19.0</v>
      </c>
      <c r="E265" s="3">
        <v>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">
        <v>746115.59</v>
      </c>
      <c r="B266" s="3">
        <v>44189.34</v>
      </c>
      <c r="C266" s="3">
        <v>8634.0</v>
      </c>
      <c r="D266" s="3">
        <v>19.0</v>
      </c>
      <c r="E266" s="3">
        <v>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">
        <v>776110.32</v>
      </c>
      <c r="B267" s="3">
        <v>38397.82</v>
      </c>
      <c r="C267" s="3">
        <v>7836.0</v>
      </c>
      <c r="D267" s="3">
        <v>21.0</v>
      </c>
      <c r="E267" s="3">
        <v>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">
        <v>528852.62</v>
      </c>
      <c r="B268" s="3">
        <v>14519.37</v>
      </c>
      <c r="C268" s="3">
        <v>3047.0</v>
      </c>
      <c r="D268" s="3">
        <v>10.0</v>
      </c>
      <c r="E268" s="3">
        <v>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">
        <v>605751.33</v>
      </c>
      <c r="B269" s="3">
        <v>43288.2</v>
      </c>
      <c r="C269" s="3">
        <v>4783.0</v>
      </c>
      <c r="D269" s="3">
        <v>13.0</v>
      </c>
      <c r="E269" s="3">
        <v>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">
        <v>677640.65</v>
      </c>
      <c r="B270" s="3">
        <v>51450.55</v>
      </c>
      <c r="C270" s="3">
        <v>4902.0</v>
      </c>
      <c r="D270" s="3">
        <v>11.0</v>
      </c>
      <c r="E270" s="3">
        <v>1.0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">
        <v>636613.23</v>
      </c>
      <c r="B271" s="3">
        <v>58688.26</v>
      </c>
      <c r="C271" s="3">
        <v>4022.0</v>
      </c>
      <c r="D271" s="3">
        <v>12.0</v>
      </c>
      <c r="E271" s="3">
        <v>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">
        <v>708985.19</v>
      </c>
      <c r="B272" s="3">
        <v>58981.91</v>
      </c>
      <c r="C272" s="3">
        <v>7324.0</v>
      </c>
      <c r="D272" s="3">
        <v>15.0</v>
      </c>
      <c r="E272" s="3">
        <v>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">
        <v>767792.94</v>
      </c>
      <c r="B273" s="3">
        <v>73454.54</v>
      </c>
      <c r="C273" s="3">
        <v>8129.0</v>
      </c>
      <c r="D273" s="3">
        <v>20.0</v>
      </c>
      <c r="E273" s="3">
        <v>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">
        <v>745580.51</v>
      </c>
      <c r="B274" s="3">
        <v>56602.39</v>
      </c>
      <c r="C274" s="3">
        <v>7969.0</v>
      </c>
      <c r="D274" s="3">
        <v>21.0</v>
      </c>
      <c r="E274" s="3">
        <v>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">
        <v>762328.31</v>
      </c>
      <c r="B275" s="3">
        <v>67722.29</v>
      </c>
      <c r="C275" s="3">
        <v>7240.0</v>
      </c>
      <c r="D275" s="3">
        <v>15.0</v>
      </c>
      <c r="E275" s="3">
        <v>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">
        <v>660633.99</v>
      </c>
      <c r="B276" s="3">
        <v>48752.92</v>
      </c>
      <c r="C276" s="3">
        <v>8052.0</v>
      </c>
      <c r="D276" s="3">
        <v>16.0</v>
      </c>
      <c r="E276" s="3">
        <v>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">
        <v>739374.56</v>
      </c>
      <c r="B277" s="3">
        <v>23914.97</v>
      </c>
      <c r="C277" s="3">
        <v>8018.0</v>
      </c>
      <c r="D277" s="3">
        <v>20.0</v>
      </c>
      <c r="E277" s="3">
        <v>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">
        <v>799756.46</v>
      </c>
      <c r="B278" s="3">
        <v>61995.3</v>
      </c>
      <c r="C278" s="3">
        <v>10192.0</v>
      </c>
      <c r="D278" s="3">
        <v>21.0</v>
      </c>
      <c r="E278" s="3">
        <v>1.0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">
        <v>593343.0</v>
      </c>
      <c r="B279" s="3">
        <v>29344.93</v>
      </c>
      <c r="C279" s="3">
        <v>7446.0</v>
      </c>
      <c r="D279" s="3">
        <v>15.0</v>
      </c>
      <c r="E279" s="3">
        <v>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">
        <v>645039.97</v>
      </c>
      <c r="B280" s="3">
        <v>50532.17</v>
      </c>
      <c r="C280" s="3">
        <v>5689.0</v>
      </c>
      <c r="D280" s="3">
        <v>17.0</v>
      </c>
      <c r="E280" s="3">
        <v>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">
        <v>561597.33</v>
      </c>
      <c r="B281" s="3">
        <v>17562.57</v>
      </c>
      <c r="C281" s="3">
        <v>3326.0</v>
      </c>
      <c r="D281" s="3">
        <v>14.0</v>
      </c>
      <c r="E281" s="3">
        <v>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">
        <v>635837.74</v>
      </c>
      <c r="B282" s="3">
        <v>47648.71</v>
      </c>
      <c r="C282" s="3">
        <v>5767.0</v>
      </c>
      <c r="D282" s="3">
        <v>17.0</v>
      </c>
      <c r="E282" s="3">
        <v>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">
        <v>686737.87</v>
      </c>
      <c r="B283" s="3">
        <v>38297.58</v>
      </c>
      <c r="C283" s="3">
        <v>5893.0</v>
      </c>
      <c r="D283" s="3">
        <v>18.0</v>
      </c>
      <c r="E283" s="3">
        <v>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">
        <v>673076.34</v>
      </c>
      <c r="B284" s="3">
        <v>61784.11</v>
      </c>
      <c r="C284" s="3">
        <v>8564.0</v>
      </c>
      <c r="D284" s="3">
        <v>17.0</v>
      </c>
      <c r="E284" s="3">
        <v>1.0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">
        <v>738548.42</v>
      </c>
      <c r="B285" s="3">
        <v>36832.33</v>
      </c>
      <c r="C285" s="3">
        <v>8001.0</v>
      </c>
      <c r="D285" s="3">
        <v>19.0</v>
      </c>
      <c r="E285" s="3">
        <v>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">
        <v>756619.77</v>
      </c>
      <c r="B286" s="3">
        <v>48609.41</v>
      </c>
      <c r="C286" s="3">
        <v>9324.0</v>
      </c>
      <c r="D286" s="3">
        <v>18.0</v>
      </c>
      <c r="E286" s="3">
        <v>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">
        <v>761122.42</v>
      </c>
      <c r="B287" s="3">
        <v>70284.06</v>
      </c>
      <c r="C287" s="3">
        <v>9109.0</v>
      </c>
      <c r="D287" s="3">
        <v>23.0</v>
      </c>
      <c r="E287" s="3">
        <v>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">
        <v>524899.57</v>
      </c>
      <c r="B288" s="3">
        <v>45940.39</v>
      </c>
      <c r="C288" s="3">
        <v>4022.0</v>
      </c>
      <c r="D288" s="3">
        <v>10.0</v>
      </c>
      <c r="E288" s="3">
        <v>1.0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">
        <v>555557.77</v>
      </c>
      <c r="B289" s="3">
        <v>34771.26</v>
      </c>
      <c r="C289" s="3">
        <v>4355.0</v>
      </c>
      <c r="D289" s="3">
        <v>15.0</v>
      </c>
      <c r="E289" s="3">
        <v>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">
        <v>714083.68</v>
      </c>
      <c r="B290" s="3">
        <v>66104.19</v>
      </c>
      <c r="C290" s="3">
        <v>5745.0</v>
      </c>
      <c r="D290" s="3">
        <v>17.0</v>
      </c>
      <c r="E290" s="3">
        <v>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">
        <v>497439.82</v>
      </c>
      <c r="B291" s="3">
        <v>18599.21</v>
      </c>
      <c r="C291" s="3">
        <v>3027.0</v>
      </c>
      <c r="D291" s="3">
        <v>11.0</v>
      </c>
      <c r="E291" s="3">
        <v>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">
        <v>636775.66</v>
      </c>
      <c r="B292" s="3">
        <v>60183.06</v>
      </c>
      <c r="C292" s="3">
        <v>5562.0</v>
      </c>
      <c r="D292" s="3">
        <v>13.0</v>
      </c>
      <c r="E292" s="3">
        <v>1.0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">
        <v>633009.53</v>
      </c>
      <c r="B293" s="3">
        <v>74539.14</v>
      </c>
      <c r="C293" s="3">
        <v>4487.0</v>
      </c>
      <c r="D293" s="3">
        <v>10.0</v>
      </c>
      <c r="E293" s="3">
        <v>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">
        <v>609949.0</v>
      </c>
      <c r="B294" s="3">
        <v>55371.97</v>
      </c>
      <c r="C294" s="3">
        <v>4162.0</v>
      </c>
      <c r="D294" s="3">
        <v>11.0</v>
      </c>
      <c r="E294" s="3">
        <v>1.0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">
        <v>548103.7</v>
      </c>
      <c r="B295" s="3">
        <v>40928.69</v>
      </c>
      <c r="C295" s="3">
        <v>4094.0</v>
      </c>
      <c r="D295" s="3">
        <v>13.0</v>
      </c>
      <c r="E295" s="3">
        <v>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">
        <v>729424.42</v>
      </c>
      <c r="B296" s="3">
        <v>70012.41</v>
      </c>
      <c r="C296" s="3">
        <v>8484.0</v>
      </c>
      <c r="D296" s="3">
        <v>23.0</v>
      </c>
      <c r="E296" s="3">
        <v>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">
        <v>696261.49</v>
      </c>
      <c r="B297" s="3">
        <v>68909.26</v>
      </c>
      <c r="C297" s="3">
        <v>7794.0</v>
      </c>
      <c r="D297" s="3">
        <v>22.0</v>
      </c>
      <c r="E297" s="3">
        <v>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">
        <v>813316.71</v>
      </c>
      <c r="B298" s="3">
        <v>56737.3</v>
      </c>
      <c r="C298" s="3">
        <v>8300.0</v>
      </c>
      <c r="D298" s="3">
        <v>21.0</v>
      </c>
      <c r="E298" s="3">
        <v>1.0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">
        <v>702068.92</v>
      </c>
      <c r="B299" s="3">
        <v>54080.91</v>
      </c>
      <c r="C299" s="3">
        <v>7083.0</v>
      </c>
      <c r="D299" s="3">
        <v>15.0</v>
      </c>
      <c r="E299" s="3">
        <v>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">
        <v>546223.7</v>
      </c>
      <c r="B300" s="3">
        <v>51996.32</v>
      </c>
      <c r="C300" s="3">
        <v>3834.0</v>
      </c>
      <c r="D300" s="3">
        <v>8.0</v>
      </c>
      <c r="E300" s="3">
        <v>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">
        <v>533121.26</v>
      </c>
      <c r="B301" s="3">
        <v>40102.88</v>
      </c>
      <c r="C301" s="3">
        <v>2358.0</v>
      </c>
      <c r="D301" s="3">
        <v>9.0</v>
      </c>
      <c r="E301" s="3">
        <v>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">
        <v>498970.32</v>
      </c>
      <c r="B302" s="3">
        <v>59825.51</v>
      </c>
      <c r="C302" s="3">
        <v>1231.0</v>
      </c>
      <c r="D302" s="3">
        <v>10.0</v>
      </c>
      <c r="E302" s="3">
        <v>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">
        <v>487738.26</v>
      </c>
      <c r="B303" s="3">
        <v>27398.28</v>
      </c>
      <c r="C303" s="3">
        <v>1723.0</v>
      </c>
      <c r="D303" s="3">
        <v>9.0</v>
      </c>
      <c r="E303" s="3">
        <v>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">
        <v>668459.37</v>
      </c>
      <c r="B304" s="3">
        <v>55599.56</v>
      </c>
      <c r="C304" s="3">
        <v>5896.0</v>
      </c>
      <c r="D304" s="3">
        <v>12.0</v>
      </c>
      <c r="E304" s="3">
        <v>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">
        <v>763162.45</v>
      </c>
      <c r="B305" s="3">
        <v>55477.61</v>
      </c>
      <c r="C305" s="3">
        <v>5903.0</v>
      </c>
      <c r="D305" s="3">
        <v>14.0</v>
      </c>
      <c r="E305" s="3">
        <v>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">
        <v>599017.33</v>
      </c>
      <c r="B306" s="3">
        <v>46174.7</v>
      </c>
      <c r="C306" s="3">
        <v>4898.0</v>
      </c>
      <c r="D306" s="3">
        <v>11.0</v>
      </c>
      <c r="E306" s="3">
        <v>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">
        <v>401582.58</v>
      </c>
      <c r="B307" s="3">
        <v>24362.98</v>
      </c>
      <c r="C307" s="3">
        <v>1462.0</v>
      </c>
      <c r="D307" s="3">
        <v>6.0</v>
      </c>
      <c r="E307" s="3">
        <v>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">
        <v>703812.99</v>
      </c>
      <c r="B308" s="3">
        <v>40647.67</v>
      </c>
      <c r="C308" s="3">
        <v>8252.0</v>
      </c>
      <c r="D308" s="3">
        <v>22.0</v>
      </c>
      <c r="E308" s="3">
        <v>1.0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">
        <v>724346.73</v>
      </c>
      <c r="B309" s="3">
        <v>63986.98</v>
      </c>
      <c r="C309" s="3">
        <v>7989.0</v>
      </c>
      <c r="D309" s="3">
        <v>20.0</v>
      </c>
      <c r="E309" s="3">
        <v>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">
        <v>730890.01</v>
      </c>
      <c r="B310" s="3">
        <v>52843.75</v>
      </c>
      <c r="C310" s="3">
        <v>8268.0</v>
      </c>
      <c r="D310" s="3">
        <v>19.0</v>
      </c>
      <c r="E310" s="3">
        <v>1.0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">
        <v>780580.95</v>
      </c>
      <c r="B311" s="3">
        <v>31997.25</v>
      </c>
      <c r="C311" s="3">
        <v>8183.0</v>
      </c>
      <c r="D311" s="3">
        <v>18.0</v>
      </c>
      <c r="E311" s="3">
        <v>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">
        <v>727957.48</v>
      </c>
      <c r="B312" s="3">
        <v>54948.02</v>
      </c>
      <c r="C312" s="3">
        <v>6534.0</v>
      </c>
      <c r="D312" s="3">
        <v>14.0</v>
      </c>
      <c r="E312" s="3">
        <v>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">
        <v>538376.0</v>
      </c>
      <c r="B313" s="3">
        <v>46146.24</v>
      </c>
      <c r="C313" s="3">
        <v>5804.0</v>
      </c>
      <c r="D313" s="3">
        <v>16.0</v>
      </c>
      <c r="E313" s="3">
        <v>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">
        <v>665342.49</v>
      </c>
      <c r="B314" s="3">
        <v>22387.26</v>
      </c>
      <c r="C314" s="3">
        <v>6301.0</v>
      </c>
      <c r="D314" s="3">
        <v>14.0</v>
      </c>
      <c r="E314" s="3">
        <v>1.0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">
        <v>651164.18</v>
      </c>
      <c r="B315" s="3">
        <v>60684.05</v>
      </c>
      <c r="C315" s="3">
        <v>6399.0</v>
      </c>
      <c r="D315" s="3">
        <v>16.0</v>
      </c>
      <c r="E315" s="3">
        <v>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">
        <v>628538.3</v>
      </c>
      <c r="B316" s="3">
        <v>48465.6</v>
      </c>
      <c r="C316" s="3">
        <v>5759.0</v>
      </c>
      <c r="D316" s="3">
        <v>13.0</v>
      </c>
      <c r="E316" s="3">
        <v>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">
        <v>536524.84</v>
      </c>
      <c r="B317" s="3">
        <v>23702.38</v>
      </c>
      <c r="C317" s="3">
        <v>5285.0</v>
      </c>
      <c r="D317" s="3">
        <v>14.0</v>
      </c>
      <c r="E317" s="3">
        <v>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">
        <v>621677.3</v>
      </c>
      <c r="B318" s="3">
        <v>54322.94</v>
      </c>
      <c r="C318" s="3">
        <v>5434.0</v>
      </c>
      <c r="D318" s="3">
        <v>13.0</v>
      </c>
      <c r="E318" s="3">
        <v>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">
        <v>771129.07</v>
      </c>
      <c r="B319" s="3">
        <v>86026.58</v>
      </c>
      <c r="C319" s="3">
        <v>7479.0</v>
      </c>
      <c r="D319" s="3">
        <v>20.0</v>
      </c>
      <c r="E319" s="3">
        <v>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">
        <v>702052.47</v>
      </c>
      <c r="B320" s="3">
        <v>78967.52</v>
      </c>
      <c r="C320" s="3">
        <v>6164.0</v>
      </c>
      <c r="D320" s="3">
        <v>16.0</v>
      </c>
      <c r="E320" s="3">
        <v>0.0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">
        <v>688368.46</v>
      </c>
      <c r="B321" s="3">
        <v>46767.99</v>
      </c>
      <c r="C321" s="3">
        <v>7973.0</v>
      </c>
      <c r="D321" s="3">
        <v>18.0</v>
      </c>
      <c r="E321" s="3">
        <v>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">
        <v>712375.77</v>
      </c>
      <c r="B322" s="3">
        <v>62507.16</v>
      </c>
      <c r="C322" s="3">
        <v>6000.0</v>
      </c>
      <c r="D322" s="3">
        <v>14.0</v>
      </c>
      <c r="E322" s="3">
        <v>1.0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">
        <v>844710.67</v>
      </c>
      <c r="B323" s="3">
        <v>66456.28</v>
      </c>
      <c r="C323" s="3">
        <v>9967.0</v>
      </c>
      <c r="D323" s="3">
        <v>20.0</v>
      </c>
      <c r="E323" s="3">
        <v>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">
        <v>620264.2</v>
      </c>
      <c r="B324" s="3">
        <v>76614.32</v>
      </c>
      <c r="C324" s="3">
        <v>5639.0</v>
      </c>
      <c r="D324" s="3">
        <v>15.0</v>
      </c>
      <c r="E324" s="3">
        <v>1.0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">
        <v>536845.42</v>
      </c>
      <c r="B325" s="3">
        <v>24088.06</v>
      </c>
      <c r="C325" s="3">
        <v>3466.0</v>
      </c>
      <c r="D325" s="3">
        <v>11.0</v>
      </c>
      <c r="E325" s="3">
        <v>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">
        <v>726776.22</v>
      </c>
      <c r="B326" s="3">
        <v>81902.58</v>
      </c>
      <c r="C326" s="3">
        <v>7775.0</v>
      </c>
      <c r="D326" s="3">
        <v>20.0</v>
      </c>
      <c r="E326" s="3">
        <v>1.0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">
        <v>559660.84</v>
      </c>
      <c r="B327" s="3">
        <v>40553.11</v>
      </c>
      <c r="C327" s="3">
        <v>5317.0</v>
      </c>
      <c r="D327" s="3">
        <v>17.0</v>
      </c>
      <c r="E327" s="3">
        <v>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K1000" s="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1.71"/>
    <col customWidth="1" min="3" max="5" width="8.71"/>
    <col customWidth="1" min="6" max="6" width="14.29"/>
    <col customWidth="1" min="11" max="11" width="29.43"/>
    <col customWidth="1" min="12" max="12" width="19.0"/>
  </cols>
  <sheetData>
    <row r="1">
      <c r="A1" s="32" t="s">
        <v>12</v>
      </c>
      <c r="B1" s="32" t="s">
        <v>4</v>
      </c>
      <c r="C1" s="32" t="s">
        <v>5</v>
      </c>
      <c r="D1" s="32" t="s">
        <v>7</v>
      </c>
      <c r="E1" s="32" t="s">
        <v>10</v>
      </c>
      <c r="F1" s="32" t="s">
        <v>132</v>
      </c>
      <c r="G1" s="32" t="s">
        <v>133</v>
      </c>
      <c r="H1" s="32" t="s">
        <v>134</v>
      </c>
      <c r="I1" s="32" t="s">
        <v>135</v>
      </c>
      <c r="J1" s="33"/>
      <c r="K1" s="32" t="s">
        <v>136</v>
      </c>
      <c r="L1" s="34" t="s">
        <v>137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658832.62</v>
      </c>
      <c r="B2" s="5">
        <v>70389.11</v>
      </c>
      <c r="C2" s="5">
        <v>8302.0</v>
      </c>
      <c r="D2" s="5">
        <v>17.0</v>
      </c>
      <c r="E2" s="5">
        <v>1.0</v>
      </c>
      <c r="F2" s="5">
        <f t="shared" ref="F2:F321" si="1">387123.6029+(1.125386035*B2)+(29.37572083*C2)+(2154.873038*D2)+(10408.00247*E2)</f>
        <v>757256.6028</v>
      </c>
      <c r="G2" s="5">
        <f t="shared" ref="G2:G321" si="2">A2-F2</f>
        <v>-98423.98276</v>
      </c>
      <c r="H2" s="5">
        <f t="shared" ref="H2:H321" si="3">G2^2</f>
        <v>9687280382</v>
      </c>
      <c r="I2" s="5">
        <f t="shared" ref="I2:I321" si="4">ABS(G2)</f>
        <v>98423.98276</v>
      </c>
      <c r="J2" s="5"/>
      <c r="K2" s="5" t="s">
        <v>138</v>
      </c>
      <c r="L2" s="5">
        <f>AVERAGE(G2:G321)</f>
        <v>-0.00002884493515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>
        <v>634436.0</v>
      </c>
      <c r="B3" s="5">
        <v>43827.89</v>
      </c>
      <c r="C3" s="5">
        <v>8487.0</v>
      </c>
      <c r="D3" s="5">
        <v>23.0</v>
      </c>
      <c r="E3" s="5">
        <v>0.0</v>
      </c>
      <c r="F3" s="5">
        <f t="shared" si="1"/>
        <v>735320.7208</v>
      </c>
      <c r="G3" s="5">
        <f t="shared" si="2"/>
        <v>-100884.7208</v>
      </c>
      <c r="H3" s="5">
        <f t="shared" si="3"/>
        <v>10177726892</v>
      </c>
      <c r="I3" s="5">
        <f t="shared" si="4"/>
        <v>100884.7208</v>
      </c>
      <c r="J3" s="5"/>
      <c r="K3" s="5" t="s">
        <v>139</v>
      </c>
      <c r="L3" s="5">
        <f>MAX(G2:G321)</f>
        <v>121902.3992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>
        <v>678722.06</v>
      </c>
      <c r="B4" s="5">
        <v>59921.75</v>
      </c>
      <c r="C4" s="5">
        <v>9113.0</v>
      </c>
      <c r="D4" s="5">
        <v>20.0</v>
      </c>
      <c r="E4" s="5">
        <v>0.0</v>
      </c>
      <c r="F4" s="5">
        <f t="shared" si="1"/>
        <v>765357.1082</v>
      </c>
      <c r="G4" s="5">
        <f t="shared" si="2"/>
        <v>-86635.04823</v>
      </c>
      <c r="H4" s="5">
        <f t="shared" si="3"/>
        <v>7505631581</v>
      </c>
      <c r="I4" s="5">
        <f t="shared" si="4"/>
        <v>86635.04823</v>
      </c>
      <c r="J4" s="5"/>
      <c r="K4" s="5" t="s">
        <v>140</v>
      </c>
      <c r="L4" s="5">
        <f>MIN(G2:G321)</f>
        <v>-135692.9801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>
        <v>658920.3</v>
      </c>
      <c r="B5" s="5">
        <v>56856.63</v>
      </c>
      <c r="C5" s="5">
        <v>9431.0</v>
      </c>
      <c r="D5" s="5">
        <v>23.0</v>
      </c>
      <c r="E5" s="5">
        <v>0.0</v>
      </c>
      <c r="F5" s="5">
        <f t="shared" si="1"/>
        <v>777713.7633</v>
      </c>
      <c r="G5" s="5">
        <f t="shared" si="2"/>
        <v>-118793.4633</v>
      </c>
      <c r="H5" s="5">
        <f t="shared" si="3"/>
        <v>14111886928</v>
      </c>
      <c r="I5" s="5">
        <f t="shared" si="4"/>
        <v>118793.4633</v>
      </c>
      <c r="J5" s="5"/>
      <c r="K5" s="5" t="s">
        <v>141</v>
      </c>
      <c r="L5" s="5">
        <f>AVERAGE(I2:I321)</f>
        <v>37607.95186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>
        <v>741341.44</v>
      </c>
      <c r="B6" s="5">
        <v>48412.64</v>
      </c>
      <c r="C6" s="5">
        <v>9545.0</v>
      </c>
      <c r="D6" s="5">
        <v>21.0</v>
      </c>
      <c r="E6" s="5">
        <v>1.0</v>
      </c>
      <c r="F6" s="5">
        <f t="shared" si="1"/>
        <v>777658.1035</v>
      </c>
      <c r="G6" s="5">
        <f t="shared" si="2"/>
        <v>-36316.66346</v>
      </c>
      <c r="H6" s="5">
        <f t="shared" si="3"/>
        <v>1318900045</v>
      </c>
      <c r="I6" s="5">
        <f t="shared" si="4"/>
        <v>36316.66346</v>
      </c>
      <c r="J6" s="5"/>
      <c r="K6" s="5" t="s">
        <v>142</v>
      </c>
      <c r="L6" s="5">
        <f>STDEV(G2:G321)</f>
        <v>48143.00665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>
        <v>761835.34</v>
      </c>
      <c r="B7" s="5">
        <v>64811.21</v>
      </c>
      <c r="C7" s="5">
        <v>9792.0</v>
      </c>
      <c r="D7" s="5">
        <v>20.0</v>
      </c>
      <c r="E7" s="5">
        <v>0.0</v>
      </c>
      <c r="F7" s="5">
        <f t="shared" si="1"/>
        <v>790805.7527</v>
      </c>
      <c r="G7" s="5">
        <f t="shared" si="2"/>
        <v>-28970.41267</v>
      </c>
      <c r="H7" s="5">
        <f t="shared" si="3"/>
        <v>839284810.4</v>
      </c>
      <c r="I7" s="5">
        <f t="shared" si="4"/>
        <v>28970.41267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>
        <v>806615.54</v>
      </c>
      <c r="B8" s="5">
        <v>46213.45</v>
      </c>
      <c r="C8" s="5">
        <v>10616.0</v>
      </c>
      <c r="D8" s="5">
        <v>22.0</v>
      </c>
      <c r="E8" s="5">
        <v>1.0</v>
      </c>
      <c r="F8" s="5">
        <f t="shared" si="1"/>
        <v>808799.4358</v>
      </c>
      <c r="G8" s="5">
        <f t="shared" si="2"/>
        <v>-2183.895796</v>
      </c>
      <c r="H8" s="5">
        <f t="shared" si="3"/>
        <v>4769400.85</v>
      </c>
      <c r="I8" s="5">
        <f t="shared" si="4"/>
        <v>2183.895796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>
        <v>850164.26</v>
      </c>
      <c r="B9" s="5">
        <v>68148.52</v>
      </c>
      <c r="C9" s="5">
        <v>8567.0</v>
      </c>
      <c r="D9" s="5">
        <v>23.0</v>
      </c>
      <c r="E9" s="5">
        <v>0.0</v>
      </c>
      <c r="F9" s="5">
        <f t="shared" si="1"/>
        <v>765040.8758</v>
      </c>
      <c r="G9" s="5">
        <f t="shared" si="2"/>
        <v>85123.38416</v>
      </c>
      <c r="H9" s="5">
        <f t="shared" si="3"/>
        <v>7245990531</v>
      </c>
      <c r="I9" s="5">
        <f t="shared" si="4"/>
        <v>85123.38416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>
        <v>930581.7</v>
      </c>
      <c r="B10" s="5">
        <v>71838.86</v>
      </c>
      <c r="C10" s="5">
        <v>10979.0</v>
      </c>
      <c r="D10" s="5">
        <v>26.0</v>
      </c>
      <c r="E10" s="5">
        <v>1.0</v>
      </c>
      <c r="F10" s="5">
        <f t="shared" si="1"/>
        <v>856920.7932</v>
      </c>
      <c r="G10" s="5">
        <f t="shared" si="2"/>
        <v>73660.90684</v>
      </c>
      <c r="H10" s="5">
        <f t="shared" si="3"/>
        <v>5425929196</v>
      </c>
      <c r="I10" s="5">
        <f t="shared" si="4"/>
        <v>73660.90684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>
        <v>779010.94</v>
      </c>
      <c r="B11" s="5">
        <v>68133.44</v>
      </c>
      <c r="C11" s="5">
        <v>9459.0</v>
      </c>
      <c r="D11" s="5">
        <v>21.0</v>
      </c>
      <c r="E11" s="5">
        <v>0.0</v>
      </c>
      <c r="F11" s="5">
        <f t="shared" si="1"/>
        <v>786917.3019</v>
      </c>
      <c r="G11" s="5">
        <f t="shared" si="2"/>
        <v>-7906.361921</v>
      </c>
      <c r="H11" s="5">
        <f t="shared" si="3"/>
        <v>62510558.83</v>
      </c>
      <c r="I11" s="5">
        <f t="shared" si="4"/>
        <v>7906.361921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>
        <v>723060.76</v>
      </c>
      <c r="B12" s="5">
        <v>34285.21</v>
      </c>
      <c r="C12" s="5">
        <v>9172.0</v>
      </c>
      <c r="D12" s="5">
        <v>22.0</v>
      </c>
      <c r="E12" s="5">
        <v>1.0</v>
      </c>
      <c r="F12" s="5">
        <f t="shared" si="1"/>
        <v>752957.0202</v>
      </c>
      <c r="G12" s="5">
        <f t="shared" si="2"/>
        <v>-29896.2602</v>
      </c>
      <c r="H12" s="5">
        <f t="shared" si="3"/>
        <v>893786373.9</v>
      </c>
      <c r="I12" s="5">
        <f t="shared" si="4"/>
        <v>29896.2602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>
        <v>910791.94</v>
      </c>
      <c r="B13" s="5">
        <v>67979.88</v>
      </c>
      <c r="C13" s="5">
        <v>11230.0</v>
      </c>
      <c r="D13" s="5">
        <v>28.0</v>
      </c>
      <c r="E13" s="5">
        <v>0.0</v>
      </c>
      <c r="F13" s="5">
        <f t="shared" si="1"/>
        <v>853853.0005</v>
      </c>
      <c r="G13" s="5">
        <f t="shared" si="2"/>
        <v>56938.9395</v>
      </c>
      <c r="H13" s="5">
        <f t="shared" si="3"/>
        <v>3242042832</v>
      </c>
      <c r="I13" s="5">
        <f t="shared" si="4"/>
        <v>56938.9395</v>
      </c>
      <c r="J13" s="5"/>
      <c r="K13" s="35" t="s">
        <v>143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>
        <v>922168.6</v>
      </c>
      <c r="B14" s="5">
        <v>71828.26</v>
      </c>
      <c r="C14" s="5">
        <v>12775.0</v>
      </c>
      <c r="D14" s="5">
        <v>30.0</v>
      </c>
      <c r="E14" s="5">
        <v>1.0</v>
      </c>
      <c r="F14" s="5">
        <f t="shared" si="1"/>
        <v>918287.1508</v>
      </c>
      <c r="G14" s="5">
        <f t="shared" si="2"/>
        <v>3881.449164</v>
      </c>
      <c r="H14" s="5">
        <f t="shared" si="3"/>
        <v>15065647.62</v>
      </c>
      <c r="I14" s="5">
        <f t="shared" si="4"/>
        <v>3881.449164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>
        <v>726606.28</v>
      </c>
      <c r="B15" s="5">
        <v>55716.82</v>
      </c>
      <c r="C15" s="5">
        <v>10054.0</v>
      </c>
      <c r="D15" s="5">
        <v>24.0</v>
      </c>
      <c r="E15" s="5">
        <v>0.0</v>
      </c>
      <c r="F15" s="5">
        <f t="shared" si="1"/>
        <v>796886.9842</v>
      </c>
      <c r="G15" s="5">
        <f t="shared" si="2"/>
        <v>-70280.70418</v>
      </c>
      <c r="H15" s="5">
        <f t="shared" si="3"/>
        <v>4939377380</v>
      </c>
      <c r="I15" s="5">
        <f t="shared" si="4"/>
        <v>70280.70418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>
        <v>746501.09</v>
      </c>
      <c r="B16" s="5">
        <v>59909.51</v>
      </c>
      <c r="C16" s="5">
        <v>8895.0</v>
      </c>
      <c r="D16" s="5">
        <v>23.0</v>
      </c>
      <c r="E16" s="5">
        <v>0.0</v>
      </c>
      <c r="F16" s="5">
        <f t="shared" si="1"/>
        <v>765404.0455</v>
      </c>
      <c r="G16" s="5">
        <f t="shared" si="2"/>
        <v>-18902.95547</v>
      </c>
      <c r="H16" s="5">
        <f t="shared" si="3"/>
        <v>357321725.7</v>
      </c>
      <c r="I16" s="5">
        <f t="shared" si="4"/>
        <v>18902.95547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>
        <v>834017.02</v>
      </c>
      <c r="B17" s="5">
        <v>75305.71</v>
      </c>
      <c r="C17" s="5">
        <v>10940.0</v>
      </c>
      <c r="D17" s="5">
        <v>26.0</v>
      </c>
      <c r="E17" s="5">
        <v>0.0</v>
      </c>
      <c r="F17" s="5">
        <f t="shared" si="1"/>
        <v>849268.6822</v>
      </c>
      <c r="G17" s="5">
        <f t="shared" si="2"/>
        <v>-15251.66216</v>
      </c>
      <c r="H17" s="5">
        <f t="shared" si="3"/>
        <v>232613198.6</v>
      </c>
      <c r="I17" s="5">
        <f t="shared" si="4"/>
        <v>15251.66216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>
        <v>666152.52</v>
      </c>
      <c r="B18" s="5">
        <v>48804.22</v>
      </c>
      <c r="C18" s="5">
        <v>7057.0</v>
      </c>
      <c r="D18" s="5">
        <v>15.0</v>
      </c>
      <c r="E18" s="5">
        <v>0.0</v>
      </c>
      <c r="F18" s="5">
        <f t="shared" si="1"/>
        <v>681674.748</v>
      </c>
      <c r="G18" s="5">
        <f t="shared" si="2"/>
        <v>-15522.228</v>
      </c>
      <c r="H18" s="5">
        <f t="shared" si="3"/>
        <v>240939562.2</v>
      </c>
      <c r="I18" s="5">
        <f t="shared" si="4"/>
        <v>15522.228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>
        <v>573155.19</v>
      </c>
      <c r="B19" s="5">
        <v>59117.9</v>
      </c>
      <c r="C19" s="5">
        <v>4263.0</v>
      </c>
      <c r="D19" s="5">
        <v>9.0</v>
      </c>
      <c r="E19" s="5">
        <v>0.0</v>
      </c>
      <c r="F19" s="5">
        <f t="shared" si="1"/>
        <v>598276.6172</v>
      </c>
      <c r="G19" s="5">
        <f t="shared" si="2"/>
        <v>-25121.42722</v>
      </c>
      <c r="H19" s="5">
        <f t="shared" si="3"/>
        <v>631086105.5</v>
      </c>
      <c r="I19" s="5">
        <f t="shared" si="4"/>
        <v>25121.42722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>
        <v>666573.2</v>
      </c>
      <c r="B20" s="5">
        <v>78831.12</v>
      </c>
      <c r="C20" s="5">
        <v>5538.0</v>
      </c>
      <c r="D20" s="5">
        <v>15.0</v>
      </c>
      <c r="E20" s="5">
        <v>0.0</v>
      </c>
      <c r="F20" s="5">
        <f t="shared" si="1"/>
        <v>670844.882</v>
      </c>
      <c r="G20" s="5">
        <f t="shared" si="2"/>
        <v>-4271.681998</v>
      </c>
      <c r="H20" s="5">
        <f t="shared" si="3"/>
        <v>18247267.09</v>
      </c>
      <c r="I20" s="5">
        <f t="shared" si="4"/>
        <v>4271.681998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>
        <v>591619.95</v>
      </c>
      <c r="B21" s="5">
        <v>41441.93</v>
      </c>
      <c r="C21" s="5">
        <v>4865.0</v>
      </c>
      <c r="D21" s="5">
        <v>16.0</v>
      </c>
      <c r="E21" s="5">
        <v>0.0</v>
      </c>
      <c r="F21" s="5">
        <f t="shared" si="1"/>
        <v>611152.6226</v>
      </c>
      <c r="G21" s="5">
        <f t="shared" si="2"/>
        <v>-19532.67263</v>
      </c>
      <c r="H21" s="5">
        <f t="shared" si="3"/>
        <v>381525300.1</v>
      </c>
      <c r="I21" s="5">
        <f t="shared" si="4"/>
        <v>19532.67263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>
        <v>415721.82</v>
      </c>
      <c r="B22" s="5">
        <v>30356.28</v>
      </c>
      <c r="C22" s="5">
        <v>2822.0</v>
      </c>
      <c r="D22" s="5">
        <v>9.0</v>
      </c>
      <c r="E22" s="5">
        <v>0.0</v>
      </c>
      <c r="F22" s="5">
        <f t="shared" si="1"/>
        <v>523578.278</v>
      </c>
      <c r="G22" s="5">
        <f t="shared" si="2"/>
        <v>-107856.458</v>
      </c>
      <c r="H22" s="5">
        <f t="shared" si="3"/>
        <v>11633015535</v>
      </c>
      <c r="I22" s="5">
        <f t="shared" si="4"/>
        <v>107856.458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>
        <v>491905.13</v>
      </c>
      <c r="B23" s="5">
        <v>33518.88</v>
      </c>
      <c r="C23" s="5">
        <v>2121.0</v>
      </c>
      <c r="D23" s="5">
        <v>8.0</v>
      </c>
      <c r="E23" s="5">
        <v>0.0</v>
      </c>
      <c r="F23" s="5">
        <f t="shared" si="1"/>
        <v>504390.1705</v>
      </c>
      <c r="G23" s="5">
        <f t="shared" si="2"/>
        <v>-12485.04055</v>
      </c>
      <c r="H23" s="5">
        <f t="shared" si="3"/>
        <v>155876237.4</v>
      </c>
      <c r="I23" s="5">
        <f t="shared" si="4"/>
        <v>12485.04055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>
        <v>555929.4</v>
      </c>
      <c r="B24" s="5">
        <v>42267.37</v>
      </c>
      <c r="C24" s="5">
        <v>3364.0</v>
      </c>
      <c r="D24" s="5">
        <v>13.0</v>
      </c>
      <c r="E24" s="5">
        <v>1.0</v>
      </c>
      <c r="F24" s="5">
        <f t="shared" si="1"/>
        <v>571931.9877</v>
      </c>
      <c r="G24" s="5">
        <f t="shared" si="2"/>
        <v>-16002.58767</v>
      </c>
      <c r="H24" s="5">
        <f t="shared" si="3"/>
        <v>256082812.1</v>
      </c>
      <c r="I24" s="5">
        <f t="shared" si="4"/>
        <v>16002.58767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>
        <v>565810.99</v>
      </c>
      <c r="B25" s="5">
        <v>62060.43</v>
      </c>
      <c r="C25" s="5">
        <v>2613.0</v>
      </c>
      <c r="D25" s="5">
        <v>12.0</v>
      </c>
      <c r="E25" s="5">
        <v>0.0</v>
      </c>
      <c r="F25" s="5">
        <f t="shared" si="1"/>
        <v>559582.7791</v>
      </c>
      <c r="G25" s="5">
        <f t="shared" si="2"/>
        <v>6228.210867</v>
      </c>
      <c r="H25" s="5">
        <f t="shared" si="3"/>
        <v>38790610.61</v>
      </c>
      <c r="I25" s="5">
        <f t="shared" si="4"/>
        <v>6228.210867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>
        <v>811771.14</v>
      </c>
      <c r="B26" s="5">
        <v>57696.69</v>
      </c>
      <c r="C26" s="5">
        <v>10218.0</v>
      </c>
      <c r="D26" s="5">
        <v>25.0</v>
      </c>
      <c r="E26" s="5">
        <v>0.0</v>
      </c>
      <c r="F26" s="5">
        <f t="shared" si="1"/>
        <v>806087.5935</v>
      </c>
      <c r="G26" s="5">
        <f t="shared" si="2"/>
        <v>5683.546517</v>
      </c>
      <c r="H26" s="5">
        <f t="shared" si="3"/>
        <v>32302701.01</v>
      </c>
      <c r="I26" s="5">
        <f t="shared" si="4"/>
        <v>5683.546517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>
        <v>800451.94</v>
      </c>
      <c r="B27" s="5">
        <v>172415.52</v>
      </c>
      <c r="C27" s="5">
        <v>8927.0</v>
      </c>
      <c r="D27" s="5">
        <v>22.0</v>
      </c>
      <c r="E27" s="5">
        <v>0.0</v>
      </c>
      <c r="F27" s="5">
        <f t="shared" si="1"/>
        <v>890801.888</v>
      </c>
      <c r="G27" s="5">
        <f t="shared" si="2"/>
        <v>-90349.94801</v>
      </c>
      <c r="H27" s="5">
        <f t="shared" si="3"/>
        <v>8163113106</v>
      </c>
      <c r="I27" s="5">
        <f t="shared" si="4"/>
        <v>90349.94801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>
        <v>783672.82</v>
      </c>
      <c r="B28" s="5">
        <v>55270.52</v>
      </c>
      <c r="C28" s="5">
        <v>9315.0</v>
      </c>
      <c r="D28" s="5">
        <v>23.0</v>
      </c>
      <c r="E28" s="5">
        <v>0.0</v>
      </c>
      <c r="F28" s="5">
        <f t="shared" si="1"/>
        <v>772521.1937</v>
      </c>
      <c r="G28" s="5">
        <f t="shared" si="2"/>
        <v>11151.62634</v>
      </c>
      <c r="H28" s="5">
        <f t="shared" si="3"/>
        <v>124358770</v>
      </c>
      <c r="I28" s="5">
        <f t="shared" si="4"/>
        <v>11151.62634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>
        <v>701641.97</v>
      </c>
      <c r="B29" s="5">
        <v>52715.1</v>
      </c>
      <c r="C29" s="5">
        <v>7223.0</v>
      </c>
      <c r="D29" s="5">
        <v>16.0</v>
      </c>
      <c r="E29" s="5">
        <v>0.0</v>
      </c>
      <c r="F29" s="5">
        <f t="shared" si="1"/>
        <v>693107.2404</v>
      </c>
      <c r="G29" s="5">
        <f t="shared" si="2"/>
        <v>8534.729563</v>
      </c>
      <c r="H29" s="5">
        <f t="shared" si="3"/>
        <v>72841608.72</v>
      </c>
      <c r="I29" s="5">
        <f t="shared" si="4"/>
        <v>8534.729563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>
        <v>511844.41</v>
      </c>
      <c r="B30" s="5">
        <v>68600.62</v>
      </c>
      <c r="C30" s="5">
        <v>3988.0</v>
      </c>
      <c r="D30" s="5">
        <v>11.0</v>
      </c>
      <c r="E30" s="5">
        <v>0.0</v>
      </c>
      <c r="F30" s="5">
        <f t="shared" si="1"/>
        <v>605179.7607</v>
      </c>
      <c r="G30" s="5">
        <f t="shared" si="2"/>
        <v>-93335.35073</v>
      </c>
      <c r="H30" s="5">
        <f t="shared" si="3"/>
        <v>8711487696</v>
      </c>
      <c r="I30" s="5">
        <f t="shared" si="4"/>
        <v>93335.35073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>
        <v>537383.79</v>
      </c>
      <c r="B31" s="5">
        <v>63176.73</v>
      </c>
      <c r="C31" s="5">
        <v>2390.0</v>
      </c>
      <c r="D31" s="5">
        <v>9.0</v>
      </c>
      <c r="E31" s="5">
        <v>0.0</v>
      </c>
      <c r="F31" s="5">
        <f t="shared" si="1"/>
        <v>547823.6427</v>
      </c>
      <c r="G31" s="5">
        <f t="shared" si="2"/>
        <v>-10439.8527</v>
      </c>
      <c r="H31" s="5">
        <f t="shared" si="3"/>
        <v>108990524.5</v>
      </c>
      <c r="I31" s="5">
        <f t="shared" si="4"/>
        <v>10439.8527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>
        <v>500173.02</v>
      </c>
      <c r="B32" s="5">
        <v>44970.08</v>
      </c>
      <c r="C32" s="5">
        <v>2471.0</v>
      </c>
      <c r="D32" s="5">
        <v>11.0</v>
      </c>
      <c r="E32" s="5">
        <v>1.0</v>
      </c>
      <c r="F32" s="5">
        <f t="shared" si="1"/>
        <v>544431.315</v>
      </c>
      <c r="G32" s="5">
        <f t="shared" si="2"/>
        <v>-44258.29498</v>
      </c>
      <c r="H32" s="5">
        <f t="shared" si="3"/>
        <v>1958796675</v>
      </c>
      <c r="I32" s="5">
        <f t="shared" si="4"/>
        <v>44258.29498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>
        <v>427917.38</v>
      </c>
      <c r="B33" s="5">
        <v>69816.35</v>
      </c>
      <c r="C33" s="5">
        <v>971.0</v>
      </c>
      <c r="D33" s="5">
        <v>5.0</v>
      </c>
      <c r="E33" s="5">
        <v>0.0</v>
      </c>
      <c r="F33" s="5">
        <f t="shared" si="1"/>
        <v>504992.1383</v>
      </c>
      <c r="G33" s="5">
        <f t="shared" si="2"/>
        <v>-77074.75832</v>
      </c>
      <c r="H33" s="5">
        <f t="shared" si="3"/>
        <v>5940518370</v>
      </c>
      <c r="I33" s="5">
        <f t="shared" si="4"/>
        <v>77074.75832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>
        <v>641865.03</v>
      </c>
      <c r="B34" s="5">
        <v>54597.83</v>
      </c>
      <c r="C34" s="5">
        <v>9429.0</v>
      </c>
      <c r="D34" s="5">
        <v>21.0</v>
      </c>
      <c r="E34" s="5">
        <v>0.0</v>
      </c>
      <c r="F34" s="5">
        <f t="shared" si="1"/>
        <v>770803.2438</v>
      </c>
      <c r="G34" s="5">
        <f t="shared" si="2"/>
        <v>-128938.2138</v>
      </c>
      <c r="H34" s="5">
        <f t="shared" si="3"/>
        <v>16625062985</v>
      </c>
      <c r="I34" s="5">
        <f t="shared" si="4"/>
        <v>128938.2138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>
        <v>799477.76</v>
      </c>
      <c r="B35" s="5">
        <v>73771.91</v>
      </c>
      <c r="C35" s="5">
        <v>11695.0</v>
      </c>
      <c r="D35" s="5">
        <v>25.0</v>
      </c>
      <c r="E35" s="5">
        <v>0.0</v>
      </c>
      <c r="F35" s="5">
        <f t="shared" si="1"/>
        <v>867566.3612</v>
      </c>
      <c r="G35" s="5">
        <f t="shared" si="2"/>
        <v>-68088.60125</v>
      </c>
      <c r="H35" s="5">
        <f t="shared" si="3"/>
        <v>4636057620</v>
      </c>
      <c r="I35" s="5">
        <f t="shared" si="4"/>
        <v>68088.60125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>
        <v>798952.17</v>
      </c>
      <c r="B36" s="5">
        <v>74413.88</v>
      </c>
      <c r="C36" s="5">
        <v>9449.0</v>
      </c>
      <c r="D36" s="5">
        <v>23.0</v>
      </c>
      <c r="E36" s="5">
        <v>0.0</v>
      </c>
      <c r="F36" s="5">
        <f t="shared" si="1"/>
        <v>798001.2103</v>
      </c>
      <c r="G36" s="5">
        <f t="shared" si="2"/>
        <v>950.9597412</v>
      </c>
      <c r="H36" s="5">
        <f t="shared" si="3"/>
        <v>904324.4293</v>
      </c>
      <c r="I36" s="5">
        <f t="shared" si="4"/>
        <v>950.9597412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>
        <v>800979.78</v>
      </c>
      <c r="B37" s="5">
        <v>52483.77</v>
      </c>
      <c r="C37" s="5">
        <v>10453.0</v>
      </c>
      <c r="D37" s="5">
        <v>25.0</v>
      </c>
      <c r="E37" s="5">
        <v>0.0</v>
      </c>
      <c r="F37" s="5">
        <f t="shared" si="1"/>
        <v>807124.3405</v>
      </c>
      <c r="G37" s="5">
        <f t="shared" si="2"/>
        <v>-6144.560508</v>
      </c>
      <c r="H37" s="5">
        <f t="shared" si="3"/>
        <v>37755623.84</v>
      </c>
      <c r="I37" s="5">
        <f t="shared" si="4"/>
        <v>6144.560508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>
        <v>820593.93</v>
      </c>
      <c r="B38" s="5">
        <v>75269.87</v>
      </c>
      <c r="C38" s="5">
        <v>8838.0</v>
      </c>
      <c r="D38" s="5">
        <v>21.0</v>
      </c>
      <c r="E38" s="5">
        <v>1.0</v>
      </c>
      <c r="F38" s="5">
        <f t="shared" si="1"/>
        <v>787114.2204</v>
      </c>
      <c r="G38" s="5">
        <f t="shared" si="2"/>
        <v>33479.70958</v>
      </c>
      <c r="H38" s="5">
        <f t="shared" si="3"/>
        <v>1120890954</v>
      </c>
      <c r="I38" s="5">
        <f t="shared" si="4"/>
        <v>33479.70958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>
        <v>718330.53</v>
      </c>
      <c r="B39" s="5">
        <v>61245.41</v>
      </c>
      <c r="C39" s="5">
        <v>8156.0</v>
      </c>
      <c r="D39" s="5">
        <v>19.0</v>
      </c>
      <c r="E39" s="5">
        <v>0.0</v>
      </c>
      <c r="F39" s="5">
        <f t="shared" si="1"/>
        <v>736579.2988</v>
      </c>
      <c r="G39" s="5">
        <f t="shared" si="2"/>
        <v>-18248.76883</v>
      </c>
      <c r="H39" s="5">
        <f t="shared" si="3"/>
        <v>333017563.9</v>
      </c>
      <c r="I39" s="5">
        <f t="shared" si="4"/>
        <v>18248.76883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>
        <v>736633.4</v>
      </c>
      <c r="B40" s="5">
        <v>93381.26</v>
      </c>
      <c r="C40" s="5">
        <v>7562.0</v>
      </c>
      <c r="D40" s="5">
        <v>19.0</v>
      </c>
      <c r="E40" s="5">
        <v>0.0</v>
      </c>
      <c r="F40" s="5">
        <f t="shared" si="1"/>
        <v>755295.3575</v>
      </c>
      <c r="G40" s="5">
        <f t="shared" si="2"/>
        <v>-18661.95747</v>
      </c>
      <c r="H40" s="5">
        <f t="shared" si="3"/>
        <v>348268656.7</v>
      </c>
      <c r="I40" s="5">
        <f t="shared" si="4"/>
        <v>18661.95747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>
        <v>828623.85</v>
      </c>
      <c r="B41" s="5">
        <v>65012.19</v>
      </c>
      <c r="C41" s="5">
        <v>9598.0</v>
      </c>
      <c r="D41" s="5">
        <v>24.0</v>
      </c>
      <c r="E41" s="5">
        <v>0.0</v>
      </c>
      <c r="F41" s="5">
        <f t="shared" si="1"/>
        <v>793952.5351</v>
      </c>
      <c r="G41" s="5">
        <f t="shared" si="2"/>
        <v>34671.31493</v>
      </c>
      <c r="H41" s="5">
        <f t="shared" si="3"/>
        <v>1202100079</v>
      </c>
      <c r="I41" s="5">
        <f t="shared" si="4"/>
        <v>34671.31493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>
        <v>592195.85</v>
      </c>
      <c r="B42" s="5">
        <v>40462.94</v>
      </c>
      <c r="C42" s="5">
        <v>3660.0</v>
      </c>
      <c r="D42" s="5">
        <v>11.0</v>
      </c>
      <c r="E42" s="5">
        <v>0.0</v>
      </c>
      <c r="F42" s="5">
        <f t="shared" si="1"/>
        <v>563878.7722</v>
      </c>
      <c r="G42" s="5">
        <f t="shared" si="2"/>
        <v>28317.07783</v>
      </c>
      <c r="H42" s="5">
        <f t="shared" si="3"/>
        <v>801856897</v>
      </c>
      <c r="I42" s="5">
        <f t="shared" si="4"/>
        <v>28317.07783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>
        <v>532644.46</v>
      </c>
      <c r="B43" s="5">
        <v>46123.88</v>
      </c>
      <c r="C43" s="5">
        <v>3227.0</v>
      </c>
      <c r="D43" s="5">
        <v>10.0</v>
      </c>
      <c r="E43" s="5">
        <v>0.0</v>
      </c>
      <c r="F43" s="5">
        <f t="shared" si="1"/>
        <v>555374.9548</v>
      </c>
      <c r="G43" s="5">
        <f t="shared" si="2"/>
        <v>-22730.49483</v>
      </c>
      <c r="H43" s="5">
        <f t="shared" si="3"/>
        <v>516675395.2</v>
      </c>
      <c r="I43" s="5">
        <f t="shared" si="4"/>
        <v>22730.49483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>
        <v>657429.18</v>
      </c>
      <c r="B44" s="5">
        <v>68077.54</v>
      </c>
      <c r="C44" s="5">
        <v>3360.0</v>
      </c>
      <c r="D44" s="5">
        <v>14.0</v>
      </c>
      <c r="E44" s="5">
        <v>1.0</v>
      </c>
      <c r="F44" s="5">
        <f t="shared" si="1"/>
        <v>603015.7627</v>
      </c>
      <c r="G44" s="5">
        <f t="shared" si="2"/>
        <v>54413.4173</v>
      </c>
      <c r="H44" s="5">
        <f t="shared" si="3"/>
        <v>2960819982</v>
      </c>
      <c r="I44" s="5">
        <f t="shared" si="4"/>
        <v>54413.4173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>
        <v>605178.0</v>
      </c>
      <c r="B45" s="5">
        <v>64882.14</v>
      </c>
      <c r="C45" s="5">
        <v>3642.0</v>
      </c>
      <c r="D45" s="5">
        <v>13.0</v>
      </c>
      <c r="E45" s="5">
        <v>0.0</v>
      </c>
      <c r="F45" s="5">
        <f t="shared" si="1"/>
        <v>595140.7819</v>
      </c>
      <c r="G45" s="5">
        <f t="shared" si="2"/>
        <v>10037.21807</v>
      </c>
      <c r="H45" s="5">
        <f t="shared" si="3"/>
        <v>100745746.5</v>
      </c>
      <c r="I45" s="5">
        <f t="shared" si="4"/>
        <v>10037.21807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>
        <v>595467.6</v>
      </c>
      <c r="B46" s="5">
        <v>138855.51</v>
      </c>
      <c r="C46" s="5">
        <v>5145.0</v>
      </c>
      <c r="D46" s="5">
        <v>17.0</v>
      </c>
      <c r="E46" s="5">
        <v>0.0</v>
      </c>
      <c r="F46" s="5">
        <f t="shared" si="1"/>
        <v>731160.5801</v>
      </c>
      <c r="G46" s="5">
        <f t="shared" si="2"/>
        <v>-135692.9801</v>
      </c>
      <c r="H46" s="5">
        <f t="shared" si="3"/>
        <v>18412584836</v>
      </c>
      <c r="I46" s="5">
        <f t="shared" si="4"/>
        <v>135692.9801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>
        <v>599603.4</v>
      </c>
      <c r="B47" s="5">
        <v>63630.21</v>
      </c>
      <c r="C47" s="5">
        <v>4460.0</v>
      </c>
      <c r="D47" s="5">
        <v>14.0</v>
      </c>
      <c r="E47" s="5">
        <v>0.0</v>
      </c>
      <c r="F47" s="5">
        <f t="shared" si="1"/>
        <v>619916.0901</v>
      </c>
      <c r="G47" s="5">
        <f t="shared" si="2"/>
        <v>-20312.69007</v>
      </c>
      <c r="H47" s="5">
        <f t="shared" si="3"/>
        <v>412605378</v>
      </c>
      <c r="I47" s="5">
        <f t="shared" si="4"/>
        <v>20312.69007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>
        <v>614800.09</v>
      </c>
      <c r="B48" s="5">
        <v>50043.65</v>
      </c>
      <c r="C48" s="5">
        <v>3804.0</v>
      </c>
      <c r="D48" s="5">
        <v>11.0</v>
      </c>
      <c r="E48" s="5">
        <v>1.0</v>
      </c>
      <c r="F48" s="5">
        <f t="shared" si="1"/>
        <v>589298.8757</v>
      </c>
      <c r="G48" s="5">
        <f t="shared" si="2"/>
        <v>25501.21432</v>
      </c>
      <c r="H48" s="5">
        <f t="shared" si="3"/>
        <v>650311932</v>
      </c>
      <c r="I48" s="5">
        <f t="shared" si="4"/>
        <v>25501.21432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>
        <v>585365.73</v>
      </c>
      <c r="B49" s="5">
        <v>42093.84</v>
      </c>
      <c r="C49" s="5">
        <v>4074.0</v>
      </c>
      <c r="D49" s="5">
        <v>15.0</v>
      </c>
      <c r="E49" s="5">
        <v>0.0</v>
      </c>
      <c r="F49" s="5">
        <f t="shared" si="1"/>
        <v>586495.2048</v>
      </c>
      <c r="G49" s="5">
        <f t="shared" si="2"/>
        <v>-1129.474827</v>
      </c>
      <c r="H49" s="5">
        <f t="shared" si="3"/>
        <v>1275713.385</v>
      </c>
      <c r="I49" s="5">
        <f t="shared" si="4"/>
        <v>1129.474827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>
        <v>622811.74</v>
      </c>
      <c r="B50" s="5">
        <v>46624.05</v>
      </c>
      <c r="C50" s="5">
        <v>5104.0</v>
      </c>
      <c r="D50" s="5">
        <v>11.0</v>
      </c>
      <c r="E50" s="5">
        <v>1.0</v>
      </c>
      <c r="F50" s="5">
        <f t="shared" si="1"/>
        <v>623638.9427</v>
      </c>
      <c r="G50" s="5">
        <f t="shared" si="2"/>
        <v>-827.2026695</v>
      </c>
      <c r="H50" s="5">
        <f t="shared" si="3"/>
        <v>684264.2564</v>
      </c>
      <c r="I50" s="5">
        <f t="shared" si="4"/>
        <v>827.2026695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>
        <v>603297.57</v>
      </c>
      <c r="B51" s="5">
        <v>49710.29</v>
      </c>
      <c r="C51" s="5">
        <v>5559.0</v>
      </c>
      <c r="D51" s="5">
        <v>14.0</v>
      </c>
      <c r="E51" s="5">
        <v>0.0</v>
      </c>
      <c r="F51" s="5">
        <f t="shared" si="1"/>
        <v>636534.7237</v>
      </c>
      <c r="G51" s="5">
        <f t="shared" si="2"/>
        <v>-33237.15369</v>
      </c>
      <c r="H51" s="5">
        <f t="shared" si="3"/>
        <v>1104708385</v>
      </c>
      <c r="I51" s="5">
        <f t="shared" si="4"/>
        <v>33237.15369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>
        <v>625672.86</v>
      </c>
      <c r="B52" s="5">
        <v>48287.85</v>
      </c>
      <c r="C52" s="5">
        <v>5150.0</v>
      </c>
      <c r="D52" s="5">
        <v>12.0</v>
      </c>
      <c r="E52" s="5">
        <v>0.0</v>
      </c>
      <c r="F52" s="5">
        <f t="shared" si="1"/>
        <v>618609.5137</v>
      </c>
      <c r="G52" s="5">
        <f t="shared" si="2"/>
        <v>7063.346319</v>
      </c>
      <c r="H52" s="5">
        <f t="shared" si="3"/>
        <v>49890861.23</v>
      </c>
      <c r="I52" s="5">
        <f t="shared" si="4"/>
        <v>7063.346319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>
        <v>773815.14</v>
      </c>
      <c r="B53" s="5">
        <v>65312.49</v>
      </c>
      <c r="C53" s="5">
        <v>7189.0</v>
      </c>
      <c r="D53" s="5">
        <v>19.0</v>
      </c>
      <c r="E53" s="5">
        <v>0.0</v>
      </c>
      <c r="F53" s="5">
        <f t="shared" si="1"/>
        <v>712750.0118</v>
      </c>
      <c r="G53" s="5">
        <f t="shared" si="2"/>
        <v>61065.12817</v>
      </c>
      <c r="H53" s="5">
        <f t="shared" si="3"/>
        <v>3728949879</v>
      </c>
      <c r="I53" s="5">
        <f t="shared" si="4"/>
        <v>61065.12817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>
        <v>463534.25</v>
      </c>
      <c r="B54" s="5">
        <v>53015.46</v>
      </c>
      <c r="C54" s="5">
        <v>3279.0</v>
      </c>
      <c r="D54" s="5">
        <v>9.0</v>
      </c>
      <c r="E54" s="5">
        <v>0.0</v>
      </c>
      <c r="F54" s="5">
        <f t="shared" si="1"/>
        <v>562503.3072</v>
      </c>
      <c r="G54" s="5">
        <f t="shared" si="2"/>
        <v>-98969.05717</v>
      </c>
      <c r="H54" s="5">
        <f t="shared" si="3"/>
        <v>9794874276</v>
      </c>
      <c r="I54" s="5">
        <f t="shared" si="4"/>
        <v>98969.05717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>
        <v>746677.75</v>
      </c>
      <c r="B55" s="5">
        <v>99874.01</v>
      </c>
      <c r="C55" s="5">
        <v>5887.0</v>
      </c>
      <c r="D55" s="5">
        <v>14.0</v>
      </c>
      <c r="E55" s="5">
        <v>0.0</v>
      </c>
      <c r="F55" s="5">
        <f t="shared" si="1"/>
        <v>702623.5101</v>
      </c>
      <c r="G55" s="5">
        <f t="shared" si="2"/>
        <v>44054.23993</v>
      </c>
      <c r="H55" s="5">
        <f t="shared" si="3"/>
        <v>1940776056</v>
      </c>
      <c r="I55" s="5">
        <f t="shared" si="4"/>
        <v>44054.23993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>
        <v>720852.5</v>
      </c>
      <c r="B56" s="5">
        <v>81195.5</v>
      </c>
      <c r="C56" s="5">
        <v>5516.0</v>
      </c>
      <c r="D56" s="5">
        <v>14.0</v>
      </c>
      <c r="E56" s="5">
        <v>0.0</v>
      </c>
      <c r="F56" s="5">
        <f t="shared" si="1"/>
        <v>670704.5833</v>
      </c>
      <c r="G56" s="5">
        <f t="shared" si="2"/>
        <v>50147.91666</v>
      </c>
      <c r="H56" s="5">
        <f t="shared" si="3"/>
        <v>2514813546</v>
      </c>
      <c r="I56" s="5">
        <f t="shared" si="4"/>
        <v>50147.91666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>
        <v>487464.91</v>
      </c>
      <c r="B57" s="5">
        <v>27808.6</v>
      </c>
      <c r="C57" s="5">
        <v>2863.0</v>
      </c>
      <c r="D57" s="5">
        <v>13.0</v>
      </c>
      <c r="E57" s="5">
        <v>0.0</v>
      </c>
      <c r="F57" s="5">
        <f t="shared" si="1"/>
        <v>530535.0512</v>
      </c>
      <c r="G57" s="5">
        <f t="shared" si="2"/>
        <v>-43070.14122</v>
      </c>
      <c r="H57" s="5">
        <f t="shared" si="3"/>
        <v>1855037065</v>
      </c>
      <c r="I57" s="5">
        <f t="shared" si="4"/>
        <v>43070.14122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>
        <v>518049.26</v>
      </c>
      <c r="B58" s="5">
        <v>19365.06</v>
      </c>
      <c r="C58" s="5">
        <v>2378.0</v>
      </c>
      <c r="D58" s="5">
        <v>12.0</v>
      </c>
      <c r="E58" s="5">
        <v>0.0</v>
      </c>
      <c r="F58" s="5">
        <f t="shared" si="1"/>
        <v>504630.7116</v>
      </c>
      <c r="G58" s="5">
        <f t="shared" si="2"/>
        <v>13418.54842</v>
      </c>
      <c r="H58" s="5">
        <f t="shared" si="3"/>
        <v>180057441.7</v>
      </c>
      <c r="I58" s="5">
        <f t="shared" si="4"/>
        <v>13418.54842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>
        <v>500298.48</v>
      </c>
      <c r="B59" s="5">
        <v>59405.68</v>
      </c>
      <c r="C59" s="5">
        <v>2515.0</v>
      </c>
      <c r="D59" s="5">
        <v>12.0</v>
      </c>
      <c r="E59" s="5">
        <v>0.0</v>
      </c>
      <c r="F59" s="5">
        <f t="shared" si="1"/>
        <v>553716.3399</v>
      </c>
      <c r="G59" s="5">
        <f t="shared" si="2"/>
        <v>-53417.85992</v>
      </c>
      <c r="H59" s="5">
        <f t="shared" si="3"/>
        <v>2853467758</v>
      </c>
      <c r="I59" s="5">
        <f t="shared" si="4"/>
        <v>53417.85992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>
        <v>617291.15</v>
      </c>
      <c r="B60" s="5">
        <v>118910.48</v>
      </c>
      <c r="C60" s="5">
        <v>4022.0</v>
      </c>
      <c r="D60" s="5">
        <v>11.0</v>
      </c>
      <c r="E60" s="5">
        <v>0.0</v>
      </c>
      <c r="F60" s="5">
        <f t="shared" si="1"/>
        <v>662796.5491</v>
      </c>
      <c r="G60" s="5">
        <f t="shared" si="2"/>
        <v>-45505.3991</v>
      </c>
      <c r="H60" s="5">
        <f t="shared" si="3"/>
        <v>2070741348</v>
      </c>
      <c r="I60" s="5">
        <f t="shared" si="4"/>
        <v>45505.3991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>
        <v>553756.43</v>
      </c>
      <c r="B61" s="5">
        <v>52952.12</v>
      </c>
      <c r="C61" s="5">
        <v>4377.0</v>
      </c>
      <c r="D61" s="5">
        <v>14.0</v>
      </c>
      <c r="E61" s="5">
        <v>0.0</v>
      </c>
      <c r="F61" s="5">
        <f t="shared" si="1"/>
        <v>605460.9319</v>
      </c>
      <c r="G61" s="5">
        <f t="shared" si="2"/>
        <v>-51704.50188</v>
      </c>
      <c r="H61" s="5">
        <f t="shared" si="3"/>
        <v>2673355514</v>
      </c>
      <c r="I61" s="5">
        <f t="shared" si="4"/>
        <v>51704.50188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>
        <v>749559.71</v>
      </c>
      <c r="B62" s="5">
        <v>74907.98</v>
      </c>
      <c r="C62" s="5">
        <v>5306.0</v>
      </c>
      <c r="D62" s="5">
        <v>16.0</v>
      </c>
      <c r="E62" s="5">
        <v>0.0</v>
      </c>
      <c r="F62" s="5">
        <f t="shared" si="1"/>
        <v>661769.5408</v>
      </c>
      <c r="G62" s="5">
        <f t="shared" si="2"/>
        <v>87790.16917</v>
      </c>
      <c r="H62" s="5">
        <f t="shared" si="3"/>
        <v>7707113802</v>
      </c>
      <c r="I62" s="5">
        <f t="shared" si="4"/>
        <v>87790.16917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>
        <v>615966.48</v>
      </c>
      <c r="B63" s="5">
        <v>37284.66</v>
      </c>
      <c r="C63" s="5">
        <v>3928.0</v>
      </c>
      <c r="D63" s="5">
        <v>12.0</v>
      </c>
      <c r="E63" s="5">
        <v>0.0</v>
      </c>
      <c r="F63" s="5">
        <f t="shared" si="1"/>
        <v>570329.5465</v>
      </c>
      <c r="G63" s="5">
        <f t="shared" si="2"/>
        <v>45636.93354</v>
      </c>
      <c r="H63" s="5">
        <f t="shared" si="3"/>
        <v>2082729703</v>
      </c>
      <c r="I63" s="5">
        <f t="shared" si="4"/>
        <v>45636.93354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>
        <v>572011.2</v>
      </c>
      <c r="B64" s="5">
        <v>50343.19</v>
      </c>
      <c r="C64" s="5">
        <v>3845.0</v>
      </c>
      <c r="D64" s="5">
        <v>9.0</v>
      </c>
      <c r="E64" s="5">
        <v>0.0</v>
      </c>
      <c r="F64" s="5">
        <f t="shared" si="1"/>
        <v>576122.6298</v>
      </c>
      <c r="G64" s="5">
        <f t="shared" si="2"/>
        <v>-4111.429817</v>
      </c>
      <c r="H64" s="5">
        <f t="shared" si="3"/>
        <v>16903855.14</v>
      </c>
      <c r="I64" s="5">
        <f t="shared" si="4"/>
        <v>4111.429817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>
        <v>761860.19</v>
      </c>
      <c r="B65" s="5">
        <v>74954.47</v>
      </c>
      <c r="C65" s="5">
        <v>6620.0</v>
      </c>
      <c r="D65" s="5">
        <v>17.0</v>
      </c>
      <c r="E65" s="5">
        <v>0.0</v>
      </c>
      <c r="F65" s="5">
        <f t="shared" si="1"/>
        <v>702576.4302</v>
      </c>
      <c r="G65" s="5">
        <f t="shared" si="2"/>
        <v>59283.75976</v>
      </c>
      <c r="H65" s="5">
        <f t="shared" si="3"/>
        <v>3514564171</v>
      </c>
      <c r="I65" s="5">
        <f t="shared" si="4"/>
        <v>59283.75976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>
        <v>784502.68</v>
      </c>
      <c r="B66" s="5">
        <v>70040.31</v>
      </c>
      <c r="C66" s="5">
        <v>9175.0</v>
      </c>
      <c r="D66" s="5">
        <v>23.0</v>
      </c>
      <c r="E66" s="5">
        <v>1.0</v>
      </c>
      <c r="F66" s="5">
        <f t="shared" si="1"/>
        <v>795438.3106</v>
      </c>
      <c r="G66" s="5">
        <f t="shared" si="2"/>
        <v>-10935.63062</v>
      </c>
      <c r="H66" s="5">
        <f t="shared" si="3"/>
        <v>119588017.1</v>
      </c>
      <c r="I66" s="5">
        <f t="shared" si="4"/>
        <v>10935.63062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>
        <v>717141.55</v>
      </c>
      <c r="B67" s="5">
        <v>51148.69</v>
      </c>
      <c r="C67" s="5">
        <v>7940.0</v>
      </c>
      <c r="D67" s="5">
        <v>18.0</v>
      </c>
      <c r="E67" s="5">
        <v>0.0</v>
      </c>
      <c r="F67" s="5">
        <f t="shared" si="1"/>
        <v>716716.5624</v>
      </c>
      <c r="G67" s="5">
        <f t="shared" si="2"/>
        <v>424.9875913</v>
      </c>
      <c r="H67" s="5">
        <f t="shared" si="3"/>
        <v>180614.4527</v>
      </c>
      <c r="I67" s="5">
        <f t="shared" si="4"/>
        <v>424.9875913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>
        <v>685379.08</v>
      </c>
      <c r="B68" s="5">
        <v>79346.1</v>
      </c>
      <c r="C68" s="5">
        <v>9628.0</v>
      </c>
      <c r="D68" s="5">
        <v>20.0</v>
      </c>
      <c r="E68" s="5">
        <v>1.0</v>
      </c>
      <c r="F68" s="5">
        <f t="shared" si="1"/>
        <v>812753.4992</v>
      </c>
      <c r="G68" s="5">
        <f t="shared" si="2"/>
        <v>-127374.4192</v>
      </c>
      <c r="H68" s="5">
        <f t="shared" si="3"/>
        <v>16224242655</v>
      </c>
      <c r="I68" s="5">
        <f t="shared" si="4"/>
        <v>127374.4192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>
        <v>740496.65</v>
      </c>
      <c r="B69" s="5">
        <v>42018.4</v>
      </c>
      <c r="C69" s="5">
        <v>8296.0</v>
      </c>
      <c r="D69" s="5">
        <v>17.0</v>
      </c>
      <c r="E69" s="5">
        <v>0.0</v>
      </c>
      <c r="F69" s="5">
        <f t="shared" si="1"/>
        <v>714744.3451</v>
      </c>
      <c r="G69" s="5">
        <f t="shared" si="2"/>
        <v>25752.30488</v>
      </c>
      <c r="H69" s="5">
        <f t="shared" si="3"/>
        <v>663181206.4</v>
      </c>
      <c r="I69" s="5">
        <f t="shared" si="4"/>
        <v>25752.30488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>
        <v>661927.14</v>
      </c>
      <c r="B70" s="5">
        <v>70937.24</v>
      </c>
      <c r="C70" s="5">
        <v>3595.0</v>
      </c>
      <c r="D70" s="5">
        <v>11.0</v>
      </c>
      <c r="E70" s="5">
        <v>1.0</v>
      </c>
      <c r="F70" s="5">
        <f t="shared" si="1"/>
        <v>606672.7044</v>
      </c>
      <c r="G70" s="5">
        <f t="shared" si="2"/>
        <v>55254.43557</v>
      </c>
      <c r="H70" s="5">
        <f t="shared" si="3"/>
        <v>3053052650</v>
      </c>
      <c r="I70" s="5">
        <f t="shared" si="4"/>
        <v>55254.43557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>
        <v>479050.5</v>
      </c>
      <c r="B71" s="5">
        <v>36813.45</v>
      </c>
      <c r="C71" s="5">
        <v>2834.0</v>
      </c>
      <c r="D71" s="5">
        <v>11.0</v>
      </c>
      <c r="E71" s="5">
        <v>0.0</v>
      </c>
      <c r="F71" s="5">
        <f t="shared" si="1"/>
        <v>535507.3417</v>
      </c>
      <c r="G71" s="5">
        <f t="shared" si="2"/>
        <v>-56456.84168</v>
      </c>
      <c r="H71" s="5">
        <f t="shared" si="3"/>
        <v>3187374973</v>
      </c>
      <c r="I71" s="5">
        <f t="shared" si="4"/>
        <v>56456.84168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>
        <v>605023.87</v>
      </c>
      <c r="B72" s="5">
        <v>60571.82</v>
      </c>
      <c r="C72" s="5">
        <v>3193.0</v>
      </c>
      <c r="D72" s="5">
        <v>7.0</v>
      </c>
      <c r="E72" s="5">
        <v>0.0</v>
      </c>
      <c r="F72" s="5">
        <f t="shared" si="1"/>
        <v>564171.0711</v>
      </c>
      <c r="G72" s="5">
        <f t="shared" si="2"/>
        <v>40852.79888</v>
      </c>
      <c r="H72" s="5">
        <f t="shared" si="3"/>
        <v>1668951176</v>
      </c>
      <c r="I72" s="5">
        <f t="shared" si="4"/>
        <v>40852.79888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>
        <v>674774.09</v>
      </c>
      <c r="B73" s="5">
        <v>55081.16</v>
      </c>
      <c r="C73" s="5">
        <v>5485.0</v>
      </c>
      <c r="D73" s="5">
        <v>12.0</v>
      </c>
      <c r="E73" s="5">
        <v>0.0</v>
      </c>
      <c r="F73" s="5">
        <f t="shared" si="1"/>
        <v>636095.4764</v>
      </c>
      <c r="G73" s="5">
        <f t="shared" si="2"/>
        <v>38678.61364</v>
      </c>
      <c r="H73" s="5">
        <f t="shared" si="3"/>
        <v>1496035153</v>
      </c>
      <c r="I73" s="5">
        <f t="shared" si="4"/>
        <v>38678.61364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>
        <v>616069.41</v>
      </c>
      <c r="B74" s="5">
        <v>46201.46</v>
      </c>
      <c r="C74" s="5">
        <v>5918.0</v>
      </c>
      <c r="D74" s="5">
        <v>13.0</v>
      </c>
      <c r="E74" s="5">
        <v>0.0</v>
      </c>
      <c r="F74" s="5">
        <f t="shared" si="1"/>
        <v>640976.9461</v>
      </c>
      <c r="G74" s="5">
        <f t="shared" si="2"/>
        <v>-24907.53615</v>
      </c>
      <c r="H74" s="5">
        <f t="shared" si="3"/>
        <v>620385356.9</v>
      </c>
      <c r="I74" s="5">
        <f t="shared" si="4"/>
        <v>24907.53615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>
        <v>630829.94</v>
      </c>
      <c r="B75" s="5">
        <v>53762.92</v>
      </c>
      <c r="C75" s="5">
        <v>6821.0</v>
      </c>
      <c r="D75" s="5">
        <v>19.0</v>
      </c>
      <c r="E75" s="5">
        <v>0.0</v>
      </c>
      <c r="F75" s="5">
        <f t="shared" si="1"/>
        <v>688942.0218</v>
      </c>
      <c r="G75" s="5">
        <f t="shared" si="2"/>
        <v>-58112.08177</v>
      </c>
      <c r="H75" s="5">
        <f t="shared" si="3"/>
        <v>3377014048</v>
      </c>
      <c r="I75" s="5">
        <f t="shared" si="4"/>
        <v>58112.08177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>
        <v>788087.68</v>
      </c>
      <c r="B76" s="5">
        <v>70144.78</v>
      </c>
      <c r="C76" s="5">
        <v>6806.0</v>
      </c>
      <c r="D76" s="5">
        <v>20.0</v>
      </c>
      <c r="E76" s="5">
        <v>1.0</v>
      </c>
      <c r="F76" s="5">
        <f t="shared" si="1"/>
        <v>719500.1779</v>
      </c>
      <c r="G76" s="5">
        <f t="shared" si="2"/>
        <v>68587.50206</v>
      </c>
      <c r="H76" s="5">
        <f t="shared" si="3"/>
        <v>4704245439</v>
      </c>
      <c r="I76" s="5">
        <f t="shared" si="4"/>
        <v>68587.50206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>
        <v>680840.36</v>
      </c>
      <c r="B77" s="5">
        <v>58749.63</v>
      </c>
      <c r="C77" s="5">
        <v>8252.0</v>
      </c>
      <c r="D77" s="5">
        <v>20.0</v>
      </c>
      <c r="E77" s="5">
        <v>0.0</v>
      </c>
      <c r="F77" s="5">
        <f t="shared" si="1"/>
        <v>738745.5251</v>
      </c>
      <c r="G77" s="5">
        <f t="shared" si="2"/>
        <v>-57905.16511</v>
      </c>
      <c r="H77" s="5">
        <f t="shared" si="3"/>
        <v>3353008147</v>
      </c>
      <c r="I77" s="5">
        <f t="shared" si="4"/>
        <v>57905.16511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>
        <v>643657.47</v>
      </c>
      <c r="B78" s="5">
        <v>56973.18</v>
      </c>
      <c r="C78" s="5">
        <v>6662.0</v>
      </c>
      <c r="D78" s="5">
        <v>15.0</v>
      </c>
      <c r="E78" s="5">
        <v>1.0</v>
      </c>
      <c r="F78" s="5">
        <f t="shared" si="1"/>
        <v>689672.5743</v>
      </c>
      <c r="G78" s="5">
        <f t="shared" si="2"/>
        <v>-46015.10425</v>
      </c>
      <c r="H78" s="5">
        <f t="shared" si="3"/>
        <v>2117389819</v>
      </c>
      <c r="I78" s="5">
        <f t="shared" si="4"/>
        <v>46015.10425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>
        <v>691112.6</v>
      </c>
      <c r="B79" s="5">
        <v>54872.82</v>
      </c>
      <c r="C79" s="5">
        <v>5962.0</v>
      </c>
      <c r="D79" s="5">
        <v>12.0</v>
      </c>
      <c r="E79" s="5">
        <v>0.0</v>
      </c>
      <c r="F79" s="5">
        <f t="shared" si="1"/>
        <v>649873.2323</v>
      </c>
      <c r="G79" s="5">
        <f t="shared" si="2"/>
        <v>41239.36773</v>
      </c>
      <c r="H79" s="5">
        <f t="shared" si="3"/>
        <v>1700685450</v>
      </c>
      <c r="I79" s="5">
        <f t="shared" si="4"/>
        <v>41239.36773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>
        <v>776922.17</v>
      </c>
      <c r="B80" s="5">
        <v>80562.81</v>
      </c>
      <c r="C80" s="5">
        <v>7470.0</v>
      </c>
      <c r="D80" s="5">
        <v>16.0</v>
      </c>
      <c r="E80" s="5">
        <v>0.0</v>
      </c>
      <c r="F80" s="5">
        <f t="shared" si="1"/>
        <v>731702.4674</v>
      </c>
      <c r="G80" s="5">
        <f t="shared" si="2"/>
        <v>45219.70258</v>
      </c>
      <c r="H80" s="5">
        <f t="shared" si="3"/>
        <v>2044821501</v>
      </c>
      <c r="I80" s="5">
        <f t="shared" si="4"/>
        <v>45219.70258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>
        <v>636561.34</v>
      </c>
      <c r="B81" s="5">
        <v>77999.9</v>
      </c>
      <c r="C81" s="5">
        <v>5974.0</v>
      </c>
      <c r="D81" s="5">
        <v>14.0</v>
      </c>
      <c r="E81" s="5">
        <v>0.0</v>
      </c>
      <c r="F81" s="5">
        <f t="shared" si="1"/>
        <v>680562.3799</v>
      </c>
      <c r="G81" s="5">
        <f t="shared" si="2"/>
        <v>-44001.03986</v>
      </c>
      <c r="H81" s="5">
        <f t="shared" si="3"/>
        <v>1936091509</v>
      </c>
      <c r="I81" s="5">
        <f t="shared" si="4"/>
        <v>44001.03986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>
        <v>621369.58</v>
      </c>
      <c r="B82" s="5">
        <v>60881.01</v>
      </c>
      <c r="C82" s="5">
        <v>5410.0</v>
      </c>
      <c r="D82" s="5">
        <v>15.0</v>
      </c>
      <c r="E82" s="5">
        <v>0.0</v>
      </c>
      <c r="F82" s="5">
        <f t="shared" si="1"/>
        <v>646883.9866</v>
      </c>
      <c r="G82" s="5">
        <f t="shared" si="2"/>
        <v>-25514.40661</v>
      </c>
      <c r="H82" s="5">
        <f t="shared" si="3"/>
        <v>650984944.7</v>
      </c>
      <c r="I82" s="5">
        <f t="shared" si="4"/>
        <v>25514.40661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>
        <v>682208.01</v>
      </c>
      <c r="B83" s="5">
        <v>60628.38</v>
      </c>
      <c r="C83" s="5">
        <v>4451.0</v>
      </c>
      <c r="D83" s="5">
        <v>10.0</v>
      </c>
      <c r="E83" s="5">
        <v>0.0</v>
      </c>
      <c r="F83" s="5">
        <f t="shared" si="1"/>
        <v>607653.9989</v>
      </c>
      <c r="G83" s="5">
        <f t="shared" si="2"/>
        <v>74554.01113</v>
      </c>
      <c r="H83" s="5">
        <f t="shared" si="3"/>
        <v>5558300575</v>
      </c>
      <c r="I83" s="5">
        <f t="shared" si="4"/>
        <v>74554.01113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>
        <v>727241.86</v>
      </c>
      <c r="B84" s="5">
        <v>72731.14</v>
      </c>
      <c r="C84" s="5">
        <v>4644.0</v>
      </c>
      <c r="D84" s="5">
        <v>15.0</v>
      </c>
      <c r="E84" s="5">
        <v>0.0</v>
      </c>
      <c r="F84" s="5">
        <f t="shared" si="1"/>
        <v>637718.1553</v>
      </c>
      <c r="G84" s="5">
        <f t="shared" si="2"/>
        <v>89523.70473</v>
      </c>
      <c r="H84" s="5">
        <f t="shared" si="3"/>
        <v>8014493709</v>
      </c>
      <c r="I84" s="5">
        <f t="shared" si="4"/>
        <v>89523.70473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>
        <v>569100.78</v>
      </c>
      <c r="B85" s="5">
        <v>36475.71</v>
      </c>
      <c r="C85" s="5">
        <v>3559.0</v>
      </c>
      <c r="D85" s="5">
        <v>8.0</v>
      </c>
      <c r="E85" s="5">
        <v>0.0</v>
      </c>
      <c r="F85" s="5">
        <f t="shared" si="1"/>
        <v>549960.0323</v>
      </c>
      <c r="G85" s="5">
        <f t="shared" si="2"/>
        <v>19140.74771</v>
      </c>
      <c r="H85" s="5">
        <f t="shared" si="3"/>
        <v>366368222.9</v>
      </c>
      <c r="I85" s="5">
        <f t="shared" si="4"/>
        <v>19140.74771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>
        <v>574436.29</v>
      </c>
      <c r="B86" s="5">
        <v>55388.11</v>
      </c>
      <c r="C86" s="5">
        <v>3091.0</v>
      </c>
      <c r="D86" s="5">
        <v>7.0</v>
      </c>
      <c r="E86" s="5">
        <v>0.0</v>
      </c>
      <c r="F86" s="5">
        <f t="shared" si="1"/>
        <v>555341.0728</v>
      </c>
      <c r="G86" s="5">
        <f t="shared" si="2"/>
        <v>19095.21725</v>
      </c>
      <c r="H86" s="5">
        <f t="shared" si="3"/>
        <v>364627321.8</v>
      </c>
      <c r="I86" s="5">
        <f t="shared" si="4"/>
        <v>19095.21725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>
        <v>611766.72</v>
      </c>
      <c r="B87" s="5">
        <v>88443.77</v>
      </c>
      <c r="C87" s="5">
        <v>4004.0</v>
      </c>
      <c r="D87" s="5">
        <v>11.0</v>
      </c>
      <c r="E87" s="5">
        <v>0.0</v>
      </c>
      <c r="F87" s="5">
        <f t="shared" si="1"/>
        <v>627980.9762</v>
      </c>
      <c r="G87" s="5">
        <f t="shared" si="2"/>
        <v>-16214.25616</v>
      </c>
      <c r="H87" s="5">
        <f t="shared" si="3"/>
        <v>262902102.9</v>
      </c>
      <c r="I87" s="5">
        <f t="shared" si="4"/>
        <v>16214.25616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>
        <v>614596.32</v>
      </c>
      <c r="B88" s="5">
        <v>78231.91</v>
      </c>
      <c r="C88" s="5">
        <v>3788.0</v>
      </c>
      <c r="D88" s="5">
        <v>11.0</v>
      </c>
      <c r="E88" s="5">
        <v>0.0</v>
      </c>
      <c r="F88" s="5">
        <f t="shared" si="1"/>
        <v>610143.5358</v>
      </c>
      <c r="G88" s="5">
        <f t="shared" si="2"/>
        <v>4452.784173</v>
      </c>
      <c r="H88" s="5">
        <f t="shared" si="3"/>
        <v>19827286.89</v>
      </c>
      <c r="I88" s="5">
        <f t="shared" si="4"/>
        <v>4452.784173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>
        <v>450711.92</v>
      </c>
      <c r="B89" s="5">
        <v>18996.32</v>
      </c>
      <c r="C89" s="5">
        <v>1260.0</v>
      </c>
      <c r="D89" s="5">
        <v>9.0</v>
      </c>
      <c r="E89" s="5">
        <v>0.0</v>
      </c>
      <c r="F89" s="5">
        <f t="shared" si="1"/>
        <v>464909.0617</v>
      </c>
      <c r="G89" s="5">
        <f t="shared" si="2"/>
        <v>-14197.14173</v>
      </c>
      <c r="H89" s="5">
        <f t="shared" si="3"/>
        <v>201558833.4</v>
      </c>
      <c r="I89" s="5">
        <f t="shared" si="4"/>
        <v>14197.14173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>
        <v>711213.46</v>
      </c>
      <c r="B90" s="5">
        <v>50517.94</v>
      </c>
      <c r="C90" s="5">
        <v>7024.0</v>
      </c>
      <c r="D90" s="5">
        <v>18.0</v>
      </c>
      <c r="E90" s="5">
        <v>1.0</v>
      </c>
      <c r="F90" s="5">
        <f t="shared" si="1"/>
        <v>699506.5674</v>
      </c>
      <c r="G90" s="5">
        <f t="shared" si="2"/>
        <v>11706.89264</v>
      </c>
      <c r="H90" s="5">
        <f t="shared" si="3"/>
        <v>137051335.4</v>
      </c>
      <c r="I90" s="5">
        <f t="shared" si="4"/>
        <v>11706.89264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>
        <v>627171.9</v>
      </c>
      <c r="B91" s="5">
        <v>141540.29</v>
      </c>
      <c r="C91" s="5">
        <v>5400.0</v>
      </c>
      <c r="D91" s="5">
        <v>12.0</v>
      </c>
      <c r="E91" s="5">
        <v>0.0</v>
      </c>
      <c r="F91" s="5">
        <f t="shared" si="1"/>
        <v>730898.4376</v>
      </c>
      <c r="G91" s="5">
        <f t="shared" si="2"/>
        <v>-103726.5376</v>
      </c>
      <c r="H91" s="5">
        <f t="shared" si="3"/>
        <v>10759194601</v>
      </c>
      <c r="I91" s="5">
        <f t="shared" si="4"/>
        <v>103726.5376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>
        <v>739852.58</v>
      </c>
      <c r="B92" s="5">
        <v>82116.19</v>
      </c>
      <c r="C92" s="5">
        <v>5988.0</v>
      </c>
      <c r="D92" s="5">
        <v>17.0</v>
      </c>
      <c r="E92" s="5">
        <v>0.0</v>
      </c>
      <c r="F92" s="5">
        <f t="shared" si="1"/>
        <v>692070.6743</v>
      </c>
      <c r="G92" s="5">
        <f t="shared" si="2"/>
        <v>47781.90565</v>
      </c>
      <c r="H92" s="5">
        <f t="shared" si="3"/>
        <v>2283110508</v>
      </c>
      <c r="I92" s="5">
        <f t="shared" si="4"/>
        <v>47781.90565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>
        <v>586307.22</v>
      </c>
      <c r="B93" s="5">
        <v>31207.51</v>
      </c>
      <c r="C93" s="5">
        <v>3701.0</v>
      </c>
      <c r="D93" s="5">
        <v>11.0</v>
      </c>
      <c r="E93" s="5">
        <v>0.0</v>
      </c>
      <c r="F93" s="5">
        <f t="shared" si="1"/>
        <v>554667.2451</v>
      </c>
      <c r="G93" s="5">
        <f t="shared" si="2"/>
        <v>31639.97495</v>
      </c>
      <c r="H93" s="5">
        <f t="shared" si="3"/>
        <v>1001088015</v>
      </c>
      <c r="I93" s="5">
        <f t="shared" si="4"/>
        <v>31639.97495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>
        <v>585937.48</v>
      </c>
      <c r="B94" s="5">
        <v>38966.59</v>
      </c>
      <c r="C94" s="5">
        <v>4509.0</v>
      </c>
      <c r="D94" s="5">
        <v>14.0</v>
      </c>
      <c r="E94" s="5">
        <v>0.0</v>
      </c>
      <c r="F94" s="5">
        <f t="shared" si="1"/>
        <v>593599.4069</v>
      </c>
      <c r="G94" s="5">
        <f t="shared" si="2"/>
        <v>-7661.926872</v>
      </c>
      <c r="H94" s="5">
        <f t="shared" si="3"/>
        <v>58705123.39</v>
      </c>
      <c r="I94" s="5">
        <f t="shared" si="4"/>
        <v>7661.926872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>
        <v>753473.55</v>
      </c>
      <c r="B95" s="5">
        <v>67439.3</v>
      </c>
      <c r="C95" s="5">
        <v>6477.0</v>
      </c>
      <c r="D95" s="5">
        <v>16.0</v>
      </c>
      <c r="E95" s="5">
        <v>0.0</v>
      </c>
      <c r="F95" s="5">
        <f t="shared" si="1"/>
        <v>687763.3618</v>
      </c>
      <c r="G95" s="5">
        <f t="shared" si="2"/>
        <v>65710.18825</v>
      </c>
      <c r="H95" s="5">
        <f t="shared" si="3"/>
        <v>4317828839</v>
      </c>
      <c r="I95" s="5">
        <f t="shared" si="4"/>
        <v>65710.18825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>
        <v>838250.32</v>
      </c>
      <c r="B96" s="5">
        <v>86421.88</v>
      </c>
      <c r="C96" s="5">
        <v>7970.0</v>
      </c>
      <c r="D96" s="5">
        <v>17.0</v>
      </c>
      <c r="E96" s="5">
        <v>0.0</v>
      </c>
      <c r="F96" s="5">
        <f t="shared" si="1"/>
        <v>755138.9164</v>
      </c>
      <c r="G96" s="5">
        <f t="shared" si="2"/>
        <v>83111.40357</v>
      </c>
      <c r="H96" s="5">
        <f t="shared" si="3"/>
        <v>6907505403</v>
      </c>
      <c r="I96" s="5">
        <f t="shared" si="4"/>
        <v>83111.40357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>
        <v>607898.12</v>
      </c>
      <c r="B97" s="5">
        <v>9534.65</v>
      </c>
      <c r="C97" s="5">
        <v>6057.0</v>
      </c>
      <c r="D97" s="5">
        <v>15.0</v>
      </c>
      <c r="E97" s="5">
        <v>0.0</v>
      </c>
      <c r="F97" s="5">
        <f t="shared" si="1"/>
        <v>608105.6015</v>
      </c>
      <c r="G97" s="5">
        <f t="shared" si="2"/>
        <v>-207.4814959</v>
      </c>
      <c r="H97" s="5">
        <f t="shared" si="3"/>
        <v>43048.57115</v>
      </c>
      <c r="I97" s="5">
        <f t="shared" si="4"/>
        <v>207.4814959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>
        <v>691113.62</v>
      </c>
      <c r="B98" s="5">
        <v>61132.07</v>
      </c>
      <c r="C98" s="5">
        <v>6394.0</v>
      </c>
      <c r="D98" s="5">
        <v>19.0</v>
      </c>
      <c r="E98" s="5">
        <v>0.0</v>
      </c>
      <c r="F98" s="5">
        <f t="shared" si="1"/>
        <v>684691.7275</v>
      </c>
      <c r="G98" s="5">
        <f t="shared" si="2"/>
        <v>6421.892522</v>
      </c>
      <c r="H98" s="5">
        <f t="shared" si="3"/>
        <v>41240703.57</v>
      </c>
      <c r="I98" s="5">
        <f t="shared" si="4"/>
        <v>6421.892522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>
        <v>735509.4</v>
      </c>
      <c r="B99" s="5">
        <v>78839.39</v>
      </c>
      <c r="C99" s="5">
        <v>5150.0</v>
      </c>
      <c r="D99" s="5">
        <v>13.0</v>
      </c>
      <c r="E99" s="5">
        <v>0.0</v>
      </c>
      <c r="F99" s="5">
        <f t="shared" si="1"/>
        <v>655146.6632</v>
      </c>
      <c r="G99" s="5">
        <f t="shared" si="2"/>
        <v>80362.73682</v>
      </c>
      <c r="H99" s="5">
        <f t="shared" si="3"/>
        <v>6458169469</v>
      </c>
      <c r="I99" s="5">
        <f t="shared" si="4"/>
        <v>80362.73682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>
        <v>605775.33</v>
      </c>
      <c r="B100" s="5">
        <v>38752.8</v>
      </c>
      <c r="C100" s="5">
        <v>4712.0</v>
      </c>
      <c r="D100" s="5">
        <v>15.0</v>
      </c>
      <c r="E100" s="5">
        <v>0.0</v>
      </c>
      <c r="F100" s="5">
        <f t="shared" si="1"/>
        <v>601476.955</v>
      </c>
      <c r="G100" s="5">
        <f t="shared" si="2"/>
        <v>4298.375042</v>
      </c>
      <c r="H100" s="5">
        <f t="shared" si="3"/>
        <v>18476028</v>
      </c>
      <c r="I100" s="5">
        <f t="shared" si="4"/>
        <v>4298.375042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>
        <v>675177.68</v>
      </c>
      <c r="B101" s="5">
        <v>55101.1</v>
      </c>
      <c r="C101" s="5">
        <v>5281.0</v>
      </c>
      <c r="D101" s="5">
        <v>11.0</v>
      </c>
      <c r="E101" s="5">
        <v>0.0</v>
      </c>
      <c r="F101" s="5">
        <f t="shared" si="1"/>
        <v>627970.3965</v>
      </c>
      <c r="G101" s="5">
        <f t="shared" si="2"/>
        <v>47207.28353</v>
      </c>
      <c r="H101" s="5">
        <f t="shared" si="3"/>
        <v>2228527618</v>
      </c>
      <c r="I101" s="5">
        <f t="shared" si="4"/>
        <v>47207.28353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>
        <v>635181.35</v>
      </c>
      <c r="B102" s="5">
        <v>53084.76</v>
      </c>
      <c r="C102" s="5">
        <v>3642.0</v>
      </c>
      <c r="D102" s="5">
        <v>12.0</v>
      </c>
      <c r="E102" s="5">
        <v>0.0</v>
      </c>
      <c r="F102" s="5">
        <f t="shared" si="1"/>
        <v>579709.3022</v>
      </c>
      <c r="G102" s="5">
        <f t="shared" si="2"/>
        <v>55472.04781</v>
      </c>
      <c r="H102" s="5">
        <f t="shared" si="3"/>
        <v>3077148088</v>
      </c>
      <c r="I102" s="5">
        <f t="shared" si="4"/>
        <v>55472.04781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>
        <v>586626.94</v>
      </c>
      <c r="B103" s="5">
        <v>63101.59</v>
      </c>
      <c r="C103" s="5">
        <v>4373.0</v>
      </c>
      <c r="D103" s="5">
        <v>14.0</v>
      </c>
      <c r="E103" s="5">
        <v>0.0</v>
      </c>
      <c r="F103" s="5">
        <f t="shared" si="1"/>
        <v>616765.5008</v>
      </c>
      <c r="G103" s="5">
        <f t="shared" si="2"/>
        <v>-30138.56079</v>
      </c>
      <c r="H103" s="5">
        <f t="shared" si="3"/>
        <v>908332846.7</v>
      </c>
      <c r="I103" s="5">
        <f t="shared" si="4"/>
        <v>30138.56079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>
        <v>740102.64</v>
      </c>
      <c r="B104" s="5">
        <v>90084.4</v>
      </c>
      <c r="C104" s="5">
        <v>6832.0</v>
      </c>
      <c r="D104" s="5">
        <v>14.0</v>
      </c>
      <c r="E104" s="5">
        <v>1.0</v>
      </c>
      <c r="F104" s="5">
        <f t="shared" si="1"/>
        <v>729774.4783</v>
      </c>
      <c r="G104" s="5">
        <f t="shared" si="2"/>
        <v>10328.16166</v>
      </c>
      <c r="H104" s="5">
        <f t="shared" si="3"/>
        <v>106670923.2</v>
      </c>
      <c r="I104" s="5">
        <f t="shared" si="4"/>
        <v>10328.16166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>
        <v>625514.04</v>
      </c>
      <c r="B105" s="5">
        <v>32266.64</v>
      </c>
      <c r="C105" s="5">
        <v>2414.0</v>
      </c>
      <c r="D105" s="5">
        <v>7.0</v>
      </c>
      <c r="E105" s="5">
        <v>0.0</v>
      </c>
      <c r="F105" s="5">
        <f t="shared" si="1"/>
        <v>509433.1303</v>
      </c>
      <c r="G105" s="5">
        <f t="shared" si="2"/>
        <v>116080.9097</v>
      </c>
      <c r="H105" s="5">
        <f t="shared" si="3"/>
        <v>13474777596</v>
      </c>
      <c r="I105" s="5">
        <f t="shared" si="4"/>
        <v>116080.9097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>
        <v>727227.2</v>
      </c>
      <c r="B106" s="5">
        <v>57919.07</v>
      </c>
      <c r="C106" s="5">
        <v>7374.0</v>
      </c>
      <c r="D106" s="5">
        <v>21.0</v>
      </c>
      <c r="E106" s="5">
        <v>0.0</v>
      </c>
      <c r="F106" s="5">
        <f t="shared" si="1"/>
        <v>714173.8146</v>
      </c>
      <c r="G106" s="5">
        <f t="shared" si="2"/>
        <v>13053.38536</v>
      </c>
      <c r="H106" s="5">
        <f t="shared" si="3"/>
        <v>170390869.4</v>
      </c>
      <c r="I106" s="5">
        <f t="shared" si="4"/>
        <v>13053.38536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>
        <v>783797.89</v>
      </c>
      <c r="B107" s="5">
        <v>74679.35</v>
      </c>
      <c r="C107" s="5">
        <v>8739.0</v>
      </c>
      <c r="D107" s="5">
        <v>21.0</v>
      </c>
      <c r="E107" s="5">
        <v>0.0</v>
      </c>
      <c r="F107" s="5">
        <f t="shared" si="1"/>
        <v>773133.4586</v>
      </c>
      <c r="G107" s="5">
        <f t="shared" si="2"/>
        <v>10664.43138</v>
      </c>
      <c r="H107" s="5">
        <f t="shared" si="3"/>
        <v>113730096.6</v>
      </c>
      <c r="I107" s="5">
        <f t="shared" si="4"/>
        <v>10664.43138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>
        <v>795153.84</v>
      </c>
      <c r="B108" s="5">
        <v>64294.23</v>
      </c>
      <c r="C108" s="5">
        <v>6992.0</v>
      </c>
      <c r="D108" s="5">
        <v>14.0</v>
      </c>
      <c r="E108" s="5">
        <v>0.0</v>
      </c>
      <c r="F108" s="5">
        <f t="shared" si="1"/>
        <v>695042.694</v>
      </c>
      <c r="G108" s="5">
        <f t="shared" si="2"/>
        <v>100111.146</v>
      </c>
      <c r="H108" s="5">
        <f t="shared" si="3"/>
        <v>10022241544</v>
      </c>
      <c r="I108" s="5">
        <f t="shared" si="4"/>
        <v>100111.146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>
        <v>665594.94</v>
      </c>
      <c r="B109" s="5">
        <v>31042.03</v>
      </c>
      <c r="C109" s="5">
        <v>7107.0</v>
      </c>
      <c r="D109" s="5">
        <v>15.0</v>
      </c>
      <c r="E109" s="5">
        <v>0.0</v>
      </c>
      <c r="F109" s="5">
        <f t="shared" si="1"/>
        <v>663154.2135</v>
      </c>
      <c r="G109" s="5">
        <f t="shared" si="2"/>
        <v>2440.726531</v>
      </c>
      <c r="H109" s="5">
        <f t="shared" si="3"/>
        <v>5957146</v>
      </c>
      <c r="I109" s="5">
        <f t="shared" si="4"/>
        <v>2440.726531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>
        <v>709478.39</v>
      </c>
      <c r="B110" s="5">
        <v>75265.02</v>
      </c>
      <c r="C110" s="5">
        <v>6975.0</v>
      </c>
      <c r="D110" s="5">
        <v>20.0</v>
      </c>
      <c r="E110" s="5">
        <v>1.0</v>
      </c>
      <c r="F110" s="5">
        <f t="shared" si="1"/>
        <v>730226.9214</v>
      </c>
      <c r="G110" s="5">
        <f t="shared" si="2"/>
        <v>-20748.53135</v>
      </c>
      <c r="H110" s="5">
        <f t="shared" si="3"/>
        <v>430501553.2</v>
      </c>
      <c r="I110" s="5">
        <f t="shared" si="4"/>
        <v>20748.53135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>
        <v>664162.49</v>
      </c>
      <c r="B111" s="5">
        <v>69411.7</v>
      </c>
      <c r="C111" s="5">
        <v>5493.0</v>
      </c>
      <c r="D111" s="5">
        <v>13.0</v>
      </c>
      <c r="E111" s="5">
        <v>0.0</v>
      </c>
      <c r="F111" s="5">
        <f t="shared" si="1"/>
        <v>654612.7448</v>
      </c>
      <c r="G111" s="5">
        <f t="shared" si="2"/>
        <v>9549.745241</v>
      </c>
      <c r="H111" s="5">
        <f t="shared" si="3"/>
        <v>91197634.17</v>
      </c>
      <c r="I111" s="5">
        <f t="shared" si="4"/>
        <v>9549.745241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>
        <v>633494.21</v>
      </c>
      <c r="B112" s="5">
        <v>51056.15</v>
      </c>
      <c r="C112" s="5">
        <v>5686.0</v>
      </c>
      <c r="D112" s="5">
        <v>13.0</v>
      </c>
      <c r="E112" s="5">
        <v>0.0</v>
      </c>
      <c r="F112" s="5">
        <f t="shared" si="1"/>
        <v>639625.1792</v>
      </c>
      <c r="G112" s="5">
        <f t="shared" si="2"/>
        <v>-6130.969244</v>
      </c>
      <c r="H112" s="5">
        <f t="shared" si="3"/>
        <v>37588783.87</v>
      </c>
      <c r="I112" s="5">
        <f t="shared" si="4"/>
        <v>6130.969244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>
        <v>713611.16</v>
      </c>
      <c r="B113" s="5">
        <v>52758.01</v>
      </c>
      <c r="C113" s="5">
        <v>4063.0</v>
      </c>
      <c r="D113" s="5">
        <v>12.0</v>
      </c>
      <c r="E113" s="5">
        <v>0.0</v>
      </c>
      <c r="F113" s="5">
        <f t="shared" si="1"/>
        <v>591708.7608</v>
      </c>
      <c r="G113" s="5">
        <f t="shared" si="2"/>
        <v>121902.3992</v>
      </c>
      <c r="H113" s="5">
        <f t="shared" si="3"/>
        <v>14860194936</v>
      </c>
      <c r="I113" s="5">
        <f t="shared" si="4"/>
        <v>121902.3992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>
        <v>778397.97</v>
      </c>
      <c r="B114" s="5">
        <v>61426.04</v>
      </c>
      <c r="C114" s="5">
        <v>8966.0</v>
      </c>
      <c r="D114" s="5">
        <v>22.0</v>
      </c>
      <c r="E114" s="5">
        <v>0.0</v>
      </c>
      <c r="F114" s="5">
        <f t="shared" si="1"/>
        <v>767041.5303</v>
      </c>
      <c r="G114" s="5">
        <f t="shared" si="2"/>
        <v>11356.4397</v>
      </c>
      <c r="H114" s="5">
        <f t="shared" si="3"/>
        <v>128968722.7</v>
      </c>
      <c r="I114" s="5">
        <f t="shared" si="4"/>
        <v>11356.4397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>
        <v>873380.02</v>
      </c>
      <c r="B115" s="5">
        <v>80176.34</v>
      </c>
      <c r="C115" s="5">
        <v>9489.0</v>
      </c>
      <c r="D115" s="5">
        <v>22.0</v>
      </c>
      <c r="E115" s="5">
        <v>0.0</v>
      </c>
      <c r="F115" s="5">
        <f t="shared" si="1"/>
        <v>803506.3581</v>
      </c>
      <c r="G115" s="5">
        <f t="shared" si="2"/>
        <v>69873.66193</v>
      </c>
      <c r="H115" s="5">
        <f t="shared" si="3"/>
        <v>4882328632</v>
      </c>
      <c r="I115" s="5">
        <f t="shared" si="4"/>
        <v>69873.66193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>
        <v>697287.9</v>
      </c>
      <c r="B116" s="5">
        <v>33605.18</v>
      </c>
      <c r="C116" s="5">
        <v>9225.0</v>
      </c>
      <c r="D116" s="5">
        <v>23.0</v>
      </c>
      <c r="E116" s="5">
        <v>0.0</v>
      </c>
      <c r="F116" s="5">
        <f t="shared" si="1"/>
        <v>745495.5077</v>
      </c>
      <c r="G116" s="5">
        <f t="shared" si="2"/>
        <v>-48207.60771</v>
      </c>
      <c r="H116" s="5">
        <f t="shared" si="3"/>
        <v>2323973441</v>
      </c>
      <c r="I116" s="5">
        <f t="shared" si="4"/>
        <v>48207.60771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>
        <v>718074.79</v>
      </c>
      <c r="B117" s="5">
        <v>25990.54</v>
      </c>
      <c r="C117" s="5">
        <v>9249.0</v>
      </c>
      <c r="D117" s="5">
        <v>23.0</v>
      </c>
      <c r="E117" s="5">
        <v>0.0</v>
      </c>
      <c r="F117" s="5">
        <f t="shared" si="1"/>
        <v>737631.1155</v>
      </c>
      <c r="G117" s="5">
        <f t="shared" si="2"/>
        <v>-19556.32549</v>
      </c>
      <c r="H117" s="5">
        <f t="shared" si="3"/>
        <v>382449866.6</v>
      </c>
      <c r="I117" s="5">
        <f t="shared" si="4"/>
        <v>19556.32549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>
        <v>714942.43</v>
      </c>
      <c r="B118" s="5">
        <v>43685.14</v>
      </c>
      <c r="C118" s="5">
        <v>7821.0</v>
      </c>
      <c r="D118" s="5">
        <v>17.0</v>
      </c>
      <c r="E118" s="5">
        <v>1.0</v>
      </c>
      <c r="F118" s="5">
        <f t="shared" si="1"/>
        <v>713074.6061</v>
      </c>
      <c r="G118" s="5">
        <f t="shared" si="2"/>
        <v>1867.82388</v>
      </c>
      <c r="H118" s="5">
        <f t="shared" si="3"/>
        <v>3488766.045</v>
      </c>
      <c r="I118" s="5">
        <f t="shared" si="4"/>
        <v>1867.82388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>
        <v>820519.04</v>
      </c>
      <c r="B119" s="5">
        <v>57360.01</v>
      </c>
      <c r="C119" s="5">
        <v>8434.0</v>
      </c>
      <c r="D119" s="5">
        <v>19.0</v>
      </c>
      <c r="E119" s="5">
        <v>0.0</v>
      </c>
      <c r="F119" s="5">
        <f t="shared" si="1"/>
        <v>740373.1743</v>
      </c>
      <c r="G119" s="5">
        <f t="shared" si="2"/>
        <v>80145.86568</v>
      </c>
      <c r="H119" s="5">
        <f t="shared" si="3"/>
        <v>6423359785</v>
      </c>
      <c r="I119" s="5">
        <f t="shared" si="4"/>
        <v>80145.86568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>
        <v>684217.32</v>
      </c>
      <c r="B120" s="5">
        <v>42415.47</v>
      </c>
      <c r="C120" s="5">
        <v>8512.0</v>
      </c>
      <c r="D120" s="5">
        <v>18.0</v>
      </c>
      <c r="E120" s="5">
        <v>0.0</v>
      </c>
      <c r="F120" s="5">
        <f t="shared" si="1"/>
        <v>723691.2309</v>
      </c>
      <c r="G120" s="5">
        <f t="shared" si="2"/>
        <v>-39473.91089</v>
      </c>
      <c r="H120" s="5">
        <f t="shared" si="3"/>
        <v>1558189641</v>
      </c>
      <c r="I120" s="5">
        <f t="shared" si="4"/>
        <v>39473.91089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>
        <v>735480.19</v>
      </c>
      <c r="B121" s="5">
        <v>54968.98</v>
      </c>
      <c r="C121" s="5">
        <v>7816.0</v>
      </c>
      <c r="D121" s="5">
        <v>19.0</v>
      </c>
      <c r="E121" s="5">
        <v>0.0</v>
      </c>
      <c r="F121" s="5">
        <f t="shared" si="1"/>
        <v>719528.1471</v>
      </c>
      <c r="G121" s="5">
        <f t="shared" si="2"/>
        <v>15952.04292</v>
      </c>
      <c r="H121" s="5">
        <f t="shared" si="3"/>
        <v>254467673.3</v>
      </c>
      <c r="I121" s="5">
        <f t="shared" si="4"/>
        <v>15952.04292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>
        <v>509484.81</v>
      </c>
      <c r="B122" s="5">
        <v>43896.13</v>
      </c>
      <c r="C122" s="5">
        <v>3853.0</v>
      </c>
      <c r="D122" s="5">
        <v>13.0</v>
      </c>
      <c r="E122" s="5">
        <v>0.0</v>
      </c>
      <c r="F122" s="5">
        <f t="shared" si="1"/>
        <v>577721.6964</v>
      </c>
      <c r="G122" s="5">
        <f t="shared" si="2"/>
        <v>-68236.88644</v>
      </c>
      <c r="H122" s="5">
        <f t="shared" si="3"/>
        <v>4656272672</v>
      </c>
      <c r="I122" s="5">
        <f t="shared" si="4"/>
        <v>68236.88644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>
        <v>654317.09</v>
      </c>
      <c r="B123" s="5">
        <v>83044.17</v>
      </c>
      <c r="C123" s="5">
        <v>3694.0</v>
      </c>
      <c r="D123" s="5">
        <v>14.0</v>
      </c>
      <c r="E123" s="5">
        <v>0.0</v>
      </c>
      <c r="F123" s="5">
        <f t="shared" si="1"/>
        <v>619262.4874</v>
      </c>
      <c r="G123" s="5">
        <f t="shared" si="2"/>
        <v>35054.60262</v>
      </c>
      <c r="H123" s="5">
        <f t="shared" si="3"/>
        <v>1228825165</v>
      </c>
      <c r="I123" s="5">
        <f t="shared" si="4"/>
        <v>35054.60262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>
        <v>557487.26</v>
      </c>
      <c r="B124" s="5">
        <v>48396.13</v>
      </c>
      <c r="C124" s="5">
        <v>4423.0</v>
      </c>
      <c r="D124" s="5">
        <v>15.0</v>
      </c>
      <c r="E124" s="5">
        <v>0.0</v>
      </c>
      <c r="F124" s="5">
        <f t="shared" si="1"/>
        <v>603839.8406</v>
      </c>
      <c r="G124" s="5">
        <f t="shared" si="2"/>
        <v>-46352.58055</v>
      </c>
      <c r="H124" s="5">
        <f t="shared" si="3"/>
        <v>2148561724</v>
      </c>
      <c r="I124" s="5">
        <f t="shared" si="4"/>
        <v>46352.58055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>
        <v>441275.42</v>
      </c>
      <c r="B125" s="5">
        <v>19063.48</v>
      </c>
      <c r="C125" s="5">
        <v>1906.0</v>
      </c>
      <c r="D125" s="5">
        <v>10.0</v>
      </c>
      <c r="E125" s="5">
        <v>0.0</v>
      </c>
      <c r="F125" s="5">
        <f t="shared" si="1"/>
        <v>486116.2314</v>
      </c>
      <c r="G125" s="5">
        <f t="shared" si="2"/>
        <v>-44840.81135</v>
      </c>
      <c r="H125" s="5">
        <f t="shared" si="3"/>
        <v>2010698363</v>
      </c>
      <c r="I125" s="5">
        <f t="shared" si="4"/>
        <v>44840.81135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>
        <v>914544.17</v>
      </c>
      <c r="B126" s="5">
        <v>61541.21</v>
      </c>
      <c r="C126" s="5">
        <v>10396.0</v>
      </c>
      <c r="D126" s="5">
        <v>25.0</v>
      </c>
      <c r="E126" s="5">
        <v>1.0</v>
      </c>
      <c r="F126" s="5">
        <f t="shared" si="1"/>
        <v>826051.0434</v>
      </c>
      <c r="G126" s="5">
        <f t="shared" si="2"/>
        <v>88493.12662</v>
      </c>
      <c r="H126" s="5">
        <f t="shared" si="3"/>
        <v>7831033459</v>
      </c>
      <c r="I126" s="5">
        <f t="shared" si="4"/>
        <v>88493.12662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>
        <v>842439.67</v>
      </c>
      <c r="B127" s="5">
        <v>44747.0</v>
      </c>
      <c r="C127" s="5">
        <v>11076.0</v>
      </c>
      <c r="D127" s="5">
        <v>27.0</v>
      </c>
      <c r="E127" s="5">
        <v>0.0</v>
      </c>
      <c r="F127" s="5">
        <f t="shared" si="1"/>
        <v>821028.3077</v>
      </c>
      <c r="G127" s="5">
        <f t="shared" si="2"/>
        <v>21411.36225</v>
      </c>
      <c r="H127" s="5">
        <f t="shared" si="3"/>
        <v>458446433.5</v>
      </c>
      <c r="I127" s="5">
        <f t="shared" si="4"/>
        <v>21411.36225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>
        <v>842157.92</v>
      </c>
      <c r="B128" s="5">
        <v>56517.9</v>
      </c>
      <c r="C128" s="5">
        <v>9574.0</v>
      </c>
      <c r="D128" s="5">
        <v>20.0</v>
      </c>
      <c r="E128" s="5">
        <v>1.0</v>
      </c>
      <c r="F128" s="5">
        <f t="shared" si="1"/>
        <v>785476.6727</v>
      </c>
      <c r="G128" s="5">
        <f t="shared" si="2"/>
        <v>56681.24726</v>
      </c>
      <c r="H128" s="5">
        <f t="shared" si="3"/>
        <v>3212763791</v>
      </c>
      <c r="I128" s="5">
        <f t="shared" si="4"/>
        <v>56681.24726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>
        <v>697155.3</v>
      </c>
      <c r="B129" s="5">
        <v>37828.5</v>
      </c>
      <c r="C129" s="5">
        <v>8221.0</v>
      </c>
      <c r="D129" s="5">
        <v>19.0</v>
      </c>
      <c r="E129" s="5">
        <v>0.0</v>
      </c>
      <c r="F129" s="5">
        <f t="shared" si="1"/>
        <v>712135.6572</v>
      </c>
      <c r="G129" s="5">
        <f t="shared" si="2"/>
        <v>-14980.35719</v>
      </c>
      <c r="H129" s="5">
        <f t="shared" si="3"/>
        <v>224411101.6</v>
      </c>
      <c r="I129" s="5">
        <f t="shared" si="4"/>
        <v>14980.35719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>
        <v>849018.3</v>
      </c>
      <c r="B130" s="5">
        <v>66250.53</v>
      </c>
      <c r="C130" s="5">
        <v>10618.0</v>
      </c>
      <c r="D130" s="5">
        <v>27.0</v>
      </c>
      <c r="E130" s="5">
        <v>1.0</v>
      </c>
      <c r="F130" s="5">
        <f t="shared" si="1"/>
        <v>842182.0024</v>
      </c>
      <c r="G130" s="5">
        <f t="shared" si="2"/>
        <v>6836.297558</v>
      </c>
      <c r="H130" s="5">
        <f t="shared" si="3"/>
        <v>46734964.3</v>
      </c>
      <c r="I130" s="5">
        <f t="shared" si="4"/>
        <v>6836.297558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>
        <v>801830.35</v>
      </c>
      <c r="B131" s="5">
        <v>68410.93</v>
      </c>
      <c r="C131" s="5">
        <v>10596.0</v>
      </c>
      <c r="D131" s="5">
        <v>25.0</v>
      </c>
      <c r="E131" s="5">
        <v>0.0</v>
      </c>
      <c r="F131" s="5">
        <f t="shared" si="1"/>
        <v>829249.272</v>
      </c>
      <c r="G131" s="5">
        <f t="shared" si="2"/>
        <v>-27418.92203</v>
      </c>
      <c r="H131" s="5">
        <f t="shared" si="3"/>
        <v>751797285.2</v>
      </c>
      <c r="I131" s="5">
        <f t="shared" si="4"/>
        <v>27418.92203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>
        <v>725235.28</v>
      </c>
      <c r="B132" s="5">
        <v>50735.63</v>
      </c>
      <c r="C132" s="5">
        <v>9619.0</v>
      </c>
      <c r="D132" s="5">
        <v>19.0</v>
      </c>
      <c r="E132" s="5">
        <v>1.0</v>
      </c>
      <c r="F132" s="5">
        <f t="shared" si="1"/>
        <v>778136.4212</v>
      </c>
      <c r="G132" s="5">
        <f t="shared" si="2"/>
        <v>-52901.14123</v>
      </c>
      <c r="H132" s="5">
        <f t="shared" si="3"/>
        <v>2798530744</v>
      </c>
      <c r="I132" s="5">
        <f t="shared" si="4"/>
        <v>52901.14123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>
        <v>811452.72</v>
      </c>
      <c r="B133" s="5">
        <v>66455.8</v>
      </c>
      <c r="C133" s="5">
        <v>10836.0</v>
      </c>
      <c r="D133" s="5">
        <v>25.0</v>
      </c>
      <c r="E133" s="5">
        <v>0.0</v>
      </c>
      <c r="F133" s="5">
        <f t="shared" si="1"/>
        <v>834099.169</v>
      </c>
      <c r="G133" s="5">
        <f t="shared" si="2"/>
        <v>-22646.44903</v>
      </c>
      <c r="H133" s="5">
        <f t="shared" si="3"/>
        <v>512861653.6</v>
      </c>
      <c r="I133" s="5">
        <f t="shared" si="4"/>
        <v>22646.44903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>
        <v>527300.13</v>
      </c>
      <c r="B134" s="5">
        <v>70276.28</v>
      </c>
      <c r="C134" s="5">
        <v>3043.0</v>
      </c>
      <c r="D134" s="5">
        <v>9.0</v>
      </c>
      <c r="E134" s="5">
        <v>0.0</v>
      </c>
      <c r="F134" s="5">
        <f t="shared" si="1"/>
        <v>574995.7228</v>
      </c>
      <c r="G134" s="5">
        <f t="shared" si="2"/>
        <v>-47695.59283</v>
      </c>
      <c r="H134" s="5">
        <f t="shared" si="3"/>
        <v>2274869576</v>
      </c>
      <c r="I134" s="5">
        <f t="shared" si="4"/>
        <v>47695.59283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>
        <v>400831.65</v>
      </c>
      <c r="B135" s="5">
        <v>22071.64</v>
      </c>
      <c r="C135" s="5">
        <v>1814.0</v>
      </c>
      <c r="D135" s="5">
        <v>8.0</v>
      </c>
      <c r="E135" s="5">
        <v>0.0</v>
      </c>
      <c r="F135" s="5">
        <f t="shared" si="1"/>
        <v>482489.2602</v>
      </c>
      <c r="G135" s="5">
        <f t="shared" si="2"/>
        <v>-81657.61022</v>
      </c>
      <c r="H135" s="5">
        <f t="shared" si="3"/>
        <v>6667965306</v>
      </c>
      <c r="I135" s="5">
        <f t="shared" si="4"/>
        <v>81657.61022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>
        <v>593247.25</v>
      </c>
      <c r="B136" s="5">
        <v>52285.45</v>
      </c>
      <c r="C136" s="5">
        <v>3618.0</v>
      </c>
      <c r="D136" s="5">
        <v>11.0</v>
      </c>
      <c r="E136" s="5">
        <v>1.0</v>
      </c>
      <c r="F136" s="5">
        <f t="shared" si="1"/>
        <v>586357.882</v>
      </c>
      <c r="G136" s="5">
        <f t="shared" si="2"/>
        <v>6889.367985</v>
      </c>
      <c r="H136" s="5">
        <f t="shared" si="3"/>
        <v>47463391.24</v>
      </c>
      <c r="I136" s="5">
        <f t="shared" si="4"/>
        <v>6889.367985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>
        <v>529075.95</v>
      </c>
      <c r="B137" s="5">
        <v>70366.76</v>
      </c>
      <c r="C137" s="5">
        <v>1963.0</v>
      </c>
      <c r="D137" s="5">
        <v>8.0</v>
      </c>
      <c r="E137" s="5">
        <v>0.0</v>
      </c>
      <c r="F137" s="5">
        <f t="shared" si="1"/>
        <v>541216.8962</v>
      </c>
      <c r="G137" s="5">
        <f t="shared" si="2"/>
        <v>-12140.94623</v>
      </c>
      <c r="H137" s="5">
        <f t="shared" si="3"/>
        <v>147402575.3</v>
      </c>
      <c r="I137" s="5">
        <f t="shared" si="4"/>
        <v>12140.94623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>
        <v>633638.03</v>
      </c>
      <c r="B138" s="5">
        <v>71320.66</v>
      </c>
      <c r="C138" s="5">
        <v>7888.0</v>
      </c>
      <c r="D138" s="5">
        <v>20.0</v>
      </c>
      <c r="E138" s="5">
        <v>0.0</v>
      </c>
      <c r="F138" s="5">
        <f t="shared" si="1"/>
        <v>742200.0243</v>
      </c>
      <c r="G138" s="5">
        <f t="shared" si="2"/>
        <v>-108561.9943</v>
      </c>
      <c r="H138" s="5">
        <f t="shared" si="3"/>
        <v>11785706615</v>
      </c>
      <c r="I138" s="5">
        <f t="shared" si="4"/>
        <v>108561.9943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>
        <v>743348.84</v>
      </c>
      <c r="B139" s="5">
        <v>75109.67</v>
      </c>
      <c r="C139" s="5">
        <v>6244.0</v>
      </c>
      <c r="D139" s="5">
        <v>15.0</v>
      </c>
      <c r="E139" s="5">
        <v>0.0</v>
      </c>
      <c r="F139" s="5">
        <f t="shared" si="1"/>
        <v>687396.073</v>
      </c>
      <c r="G139" s="5">
        <f t="shared" si="2"/>
        <v>55952.76696</v>
      </c>
      <c r="H139" s="5">
        <f t="shared" si="3"/>
        <v>3130712130</v>
      </c>
      <c r="I139" s="5">
        <f t="shared" si="4"/>
        <v>55952.76696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>
        <v>758827.64</v>
      </c>
      <c r="B140" s="5">
        <v>69779.0</v>
      </c>
      <c r="C140" s="5">
        <v>6544.0</v>
      </c>
      <c r="D140" s="5">
        <v>18.0</v>
      </c>
      <c r="E140" s="5">
        <v>1.0</v>
      </c>
      <c r="F140" s="5">
        <f t="shared" si="1"/>
        <v>707082.3493</v>
      </c>
      <c r="G140" s="5">
        <f t="shared" si="2"/>
        <v>51745.2907</v>
      </c>
      <c r="H140" s="5">
        <f t="shared" si="3"/>
        <v>2677575109</v>
      </c>
      <c r="I140" s="5">
        <f t="shared" si="4"/>
        <v>51745.2907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>
        <v>646559.71</v>
      </c>
      <c r="B141" s="5">
        <v>44211.95</v>
      </c>
      <c r="C141" s="5">
        <v>5465.0</v>
      </c>
      <c r="D141" s="5">
        <v>12.0</v>
      </c>
      <c r="E141" s="5">
        <v>0.0</v>
      </c>
      <c r="F141" s="5">
        <f t="shared" si="1"/>
        <v>623275.9048</v>
      </c>
      <c r="G141" s="5">
        <f t="shared" si="2"/>
        <v>23283.8052</v>
      </c>
      <c r="H141" s="5">
        <f t="shared" si="3"/>
        <v>542135584.5</v>
      </c>
      <c r="I141" s="5">
        <f t="shared" si="4"/>
        <v>23283.8052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>
        <v>715890.53</v>
      </c>
      <c r="B142" s="5">
        <v>51430.31</v>
      </c>
      <c r="C142" s="5">
        <v>6427.0</v>
      </c>
      <c r="D142" s="5">
        <v>14.0</v>
      </c>
      <c r="E142" s="5">
        <v>0.0</v>
      </c>
      <c r="F142" s="5">
        <f t="shared" si="1"/>
        <v>663968.5359</v>
      </c>
      <c r="G142" s="5">
        <f t="shared" si="2"/>
        <v>51921.99414</v>
      </c>
      <c r="H142" s="5">
        <f t="shared" si="3"/>
        <v>2695893476</v>
      </c>
      <c r="I142" s="5">
        <f t="shared" si="4"/>
        <v>51921.99414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>
        <v>715097.57</v>
      </c>
      <c r="B143" s="5">
        <v>45706.49</v>
      </c>
      <c r="C143" s="5">
        <v>6704.0</v>
      </c>
      <c r="D143" s="5">
        <v>15.0</v>
      </c>
      <c r="E143" s="5">
        <v>0.0</v>
      </c>
      <c r="F143" s="5">
        <f t="shared" si="1"/>
        <v>667818.9765</v>
      </c>
      <c r="G143" s="5">
        <f t="shared" si="2"/>
        <v>47278.59353</v>
      </c>
      <c r="H143" s="5">
        <f t="shared" si="3"/>
        <v>2235265406</v>
      </c>
      <c r="I143" s="5">
        <f t="shared" si="4"/>
        <v>47278.59353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>
        <v>682639.28</v>
      </c>
      <c r="B144" s="5">
        <v>44034.6</v>
      </c>
      <c r="C144" s="5">
        <v>5645.0</v>
      </c>
      <c r="D144" s="5">
        <v>18.0</v>
      </c>
      <c r="E144" s="5">
        <v>0.0</v>
      </c>
      <c r="F144" s="5">
        <f t="shared" si="1"/>
        <v>641293.1856</v>
      </c>
      <c r="G144" s="5">
        <f t="shared" si="2"/>
        <v>41346.09443</v>
      </c>
      <c r="H144" s="5">
        <f t="shared" si="3"/>
        <v>1709499525</v>
      </c>
      <c r="I144" s="5">
        <f t="shared" si="4"/>
        <v>41346.09443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>
        <v>695098.51</v>
      </c>
      <c r="B145" s="5">
        <v>50198.12</v>
      </c>
      <c r="C145" s="5">
        <v>6089.0</v>
      </c>
      <c r="D145" s="5">
        <v>19.0</v>
      </c>
      <c r="E145" s="5">
        <v>0.0</v>
      </c>
      <c r="F145" s="5">
        <f t="shared" si="1"/>
        <v>663427.218</v>
      </c>
      <c r="G145" s="5">
        <f t="shared" si="2"/>
        <v>31671.29201</v>
      </c>
      <c r="H145" s="5">
        <f t="shared" si="3"/>
        <v>1003070738</v>
      </c>
      <c r="I145" s="5">
        <f t="shared" si="4"/>
        <v>31671.29201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>
        <v>577732.57</v>
      </c>
      <c r="B146" s="5">
        <v>70488.2</v>
      </c>
      <c r="C146" s="5">
        <v>4312.0</v>
      </c>
      <c r="D146" s="5">
        <v>12.0</v>
      </c>
      <c r="E146" s="5">
        <v>0.0</v>
      </c>
      <c r="F146" s="5">
        <f t="shared" si="1"/>
        <v>618976.6235</v>
      </c>
      <c r="G146" s="5">
        <f t="shared" si="2"/>
        <v>-41244.05349</v>
      </c>
      <c r="H146" s="5">
        <f t="shared" si="3"/>
        <v>1701071948</v>
      </c>
      <c r="I146" s="5">
        <f t="shared" si="4"/>
        <v>41244.05349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>
        <v>537058.33</v>
      </c>
      <c r="B147" s="5">
        <v>50909.27</v>
      </c>
      <c r="C147" s="5">
        <v>3152.0</v>
      </c>
      <c r="D147" s="5">
        <v>13.0</v>
      </c>
      <c r="E147" s="5">
        <v>0.0</v>
      </c>
      <c r="F147" s="5">
        <f t="shared" si="1"/>
        <v>565021.806</v>
      </c>
      <c r="G147" s="5">
        <f t="shared" si="2"/>
        <v>-27963.47596</v>
      </c>
      <c r="H147" s="5">
        <f t="shared" si="3"/>
        <v>781955987.8</v>
      </c>
      <c r="I147" s="5">
        <f t="shared" si="4"/>
        <v>27963.47596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>
        <v>601568.87</v>
      </c>
      <c r="B148" s="5">
        <v>53351.7</v>
      </c>
      <c r="C148" s="5">
        <v>4259.0</v>
      </c>
      <c r="D148" s="5">
        <v>15.0</v>
      </c>
      <c r="E148" s="5">
        <v>0.0</v>
      </c>
      <c r="F148" s="5">
        <f t="shared" si="1"/>
        <v>604599.1516</v>
      </c>
      <c r="G148" s="5">
        <f t="shared" si="2"/>
        <v>-3030.281608</v>
      </c>
      <c r="H148" s="5">
        <f t="shared" si="3"/>
        <v>9182606.627</v>
      </c>
      <c r="I148" s="5">
        <f t="shared" si="4"/>
        <v>3030.281608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>
        <v>570964.84</v>
      </c>
      <c r="B149" s="5">
        <v>60322.4</v>
      </c>
      <c r="C149" s="5">
        <v>3350.0</v>
      </c>
      <c r="D149" s="5">
        <v>12.0</v>
      </c>
      <c r="E149" s="5">
        <v>0.0</v>
      </c>
      <c r="F149" s="5">
        <f t="shared" si="1"/>
        <v>579276.7307</v>
      </c>
      <c r="G149" s="5">
        <f t="shared" si="2"/>
        <v>-8311.890694</v>
      </c>
      <c r="H149" s="5">
        <f t="shared" si="3"/>
        <v>69087526.91</v>
      </c>
      <c r="I149" s="5">
        <f t="shared" si="4"/>
        <v>8311.890694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>
        <v>614024.91</v>
      </c>
      <c r="B150" s="5">
        <v>51575.68</v>
      </c>
      <c r="C150" s="5">
        <v>5329.0</v>
      </c>
      <c r="D150" s="5">
        <v>17.0</v>
      </c>
      <c r="E150" s="5">
        <v>0.0</v>
      </c>
      <c r="F150" s="5">
        <f t="shared" si="1"/>
        <v>638342.2109</v>
      </c>
      <c r="G150" s="5">
        <f t="shared" si="2"/>
        <v>-24317.30087</v>
      </c>
      <c r="H150" s="5">
        <f t="shared" si="3"/>
        <v>591331121.4</v>
      </c>
      <c r="I150" s="5">
        <f t="shared" si="4"/>
        <v>24317.30087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>
        <v>712868.35</v>
      </c>
      <c r="B151" s="5">
        <v>43319.94</v>
      </c>
      <c r="C151" s="5">
        <v>6551.0</v>
      </c>
      <c r="D151" s="5">
        <v>13.0</v>
      </c>
      <c r="E151" s="5">
        <v>0.0</v>
      </c>
      <c r="F151" s="5">
        <f t="shared" si="1"/>
        <v>656328.9551</v>
      </c>
      <c r="G151" s="5">
        <f t="shared" si="2"/>
        <v>56539.39494</v>
      </c>
      <c r="H151" s="5">
        <f t="shared" si="3"/>
        <v>3196703180</v>
      </c>
      <c r="I151" s="5">
        <f t="shared" si="4"/>
        <v>56539.39494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>
        <v>696744.15</v>
      </c>
      <c r="B152" s="5">
        <v>47093.55</v>
      </c>
      <c r="C152" s="5">
        <v>5550.0</v>
      </c>
      <c r="D152" s="5">
        <v>12.0</v>
      </c>
      <c r="E152" s="5">
        <v>1.0</v>
      </c>
      <c r="F152" s="5">
        <f t="shared" si="1"/>
        <v>639423.7559</v>
      </c>
      <c r="G152" s="5">
        <f t="shared" si="2"/>
        <v>57320.39406</v>
      </c>
      <c r="H152" s="5">
        <f t="shared" si="3"/>
        <v>3285627575</v>
      </c>
      <c r="I152" s="5">
        <f t="shared" si="4"/>
        <v>57320.39406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>
        <v>725847.99</v>
      </c>
      <c r="B153" s="5">
        <v>71855.09</v>
      </c>
      <c r="C153" s="5">
        <v>5911.0</v>
      </c>
      <c r="D153" s="5">
        <v>15.0</v>
      </c>
      <c r="E153" s="5">
        <v>0.0</v>
      </c>
      <c r="F153" s="5">
        <f t="shared" si="1"/>
        <v>673951.2991</v>
      </c>
      <c r="G153" s="5">
        <f t="shared" si="2"/>
        <v>51896.69087</v>
      </c>
      <c r="H153" s="5">
        <f t="shared" si="3"/>
        <v>2693266524</v>
      </c>
      <c r="I153" s="5">
        <f t="shared" si="4"/>
        <v>51896.69087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>
        <v>785028.25</v>
      </c>
      <c r="B154" s="5">
        <v>75645.23</v>
      </c>
      <c r="C154" s="5">
        <v>9674.0</v>
      </c>
      <c r="D154" s="5">
        <v>21.0</v>
      </c>
      <c r="E154" s="5">
        <v>0.0</v>
      </c>
      <c r="F154" s="5">
        <f t="shared" si="1"/>
        <v>801686.7455</v>
      </c>
      <c r="G154" s="5">
        <f t="shared" si="2"/>
        <v>-16658.49546</v>
      </c>
      <c r="H154" s="5">
        <f t="shared" si="3"/>
        <v>277505471.1</v>
      </c>
      <c r="I154" s="5">
        <f t="shared" si="4"/>
        <v>16658.49546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>
        <v>698492.67</v>
      </c>
      <c r="B155" s="5">
        <v>64374.75</v>
      </c>
      <c r="C155" s="5">
        <v>6740.0</v>
      </c>
      <c r="D155" s="5">
        <v>18.0</v>
      </c>
      <c r="E155" s="5">
        <v>0.0</v>
      </c>
      <c r="F155" s="5">
        <f t="shared" si="1"/>
        <v>696350.1206</v>
      </c>
      <c r="G155" s="5">
        <f t="shared" si="2"/>
        <v>2142.549365</v>
      </c>
      <c r="H155" s="5">
        <f t="shared" si="3"/>
        <v>4590517.782</v>
      </c>
      <c r="I155" s="5">
        <f t="shared" si="4"/>
        <v>2142.549365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>
        <v>685830.24</v>
      </c>
      <c r="B156" s="5">
        <v>61433.84</v>
      </c>
      <c r="C156" s="5">
        <v>7745.0</v>
      </c>
      <c r="D156" s="5">
        <v>16.0</v>
      </c>
      <c r="E156" s="5">
        <v>0.0</v>
      </c>
      <c r="F156" s="5">
        <f t="shared" si="1"/>
        <v>718253.3149</v>
      </c>
      <c r="G156" s="5">
        <f t="shared" si="2"/>
        <v>-32423.07495</v>
      </c>
      <c r="H156" s="5">
        <f t="shared" si="3"/>
        <v>1051255789</v>
      </c>
      <c r="I156" s="5">
        <f t="shared" si="4"/>
        <v>32423.07495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>
        <v>702318.94</v>
      </c>
      <c r="B157" s="5">
        <v>42698.14</v>
      </c>
      <c r="C157" s="5">
        <v>7693.0</v>
      </c>
      <c r="D157" s="5">
        <v>19.0</v>
      </c>
      <c r="E157" s="5">
        <v>0.0</v>
      </c>
      <c r="F157" s="5">
        <f t="shared" si="1"/>
        <v>702105.5014</v>
      </c>
      <c r="G157" s="5">
        <f t="shared" si="2"/>
        <v>213.4385563</v>
      </c>
      <c r="H157" s="5">
        <f t="shared" si="3"/>
        <v>45556.01733</v>
      </c>
      <c r="I157" s="5">
        <f t="shared" si="4"/>
        <v>213.4385563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>
        <v>700078.32</v>
      </c>
      <c r="B158" s="5">
        <v>86883.31</v>
      </c>
      <c r="C158" s="5">
        <v>6424.0</v>
      </c>
      <c r="D158" s="5">
        <v>19.0</v>
      </c>
      <c r="E158" s="5">
        <v>0.0</v>
      </c>
      <c r="F158" s="5">
        <f t="shared" si="1"/>
        <v>714553.085</v>
      </c>
      <c r="G158" s="5">
        <f t="shared" si="2"/>
        <v>-14474.76498</v>
      </c>
      <c r="H158" s="5">
        <f t="shared" si="3"/>
        <v>209518821.3</v>
      </c>
      <c r="I158" s="5">
        <f t="shared" si="4"/>
        <v>14474.76498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>
        <v>602002.32</v>
      </c>
      <c r="B159" s="5">
        <v>41863.08</v>
      </c>
      <c r="C159" s="5">
        <v>5400.0</v>
      </c>
      <c r="D159" s="5">
        <v>11.0</v>
      </c>
      <c r="E159" s="5">
        <v>0.0</v>
      </c>
      <c r="F159" s="5">
        <f t="shared" si="1"/>
        <v>616568.2244</v>
      </c>
      <c r="G159" s="5">
        <f t="shared" si="2"/>
        <v>-14565.90441</v>
      </c>
      <c r="H159" s="5">
        <f t="shared" si="3"/>
        <v>212165571.4</v>
      </c>
      <c r="I159" s="5">
        <f t="shared" si="4"/>
        <v>14565.90441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>
        <v>724216.07</v>
      </c>
      <c r="B160" s="5">
        <v>56918.16</v>
      </c>
      <c r="C160" s="5">
        <v>7015.0</v>
      </c>
      <c r="D160" s="5">
        <v>18.0</v>
      </c>
      <c r="E160" s="5">
        <v>0.0</v>
      </c>
      <c r="F160" s="5">
        <f t="shared" si="1"/>
        <v>696036.9016</v>
      </c>
      <c r="G160" s="5">
        <f t="shared" si="2"/>
        <v>28179.16839</v>
      </c>
      <c r="H160" s="5">
        <f t="shared" si="3"/>
        <v>794065531.2</v>
      </c>
      <c r="I160" s="5">
        <f t="shared" si="4"/>
        <v>28179.16839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>
        <v>620973.03</v>
      </c>
      <c r="B161" s="5">
        <v>23254.57</v>
      </c>
      <c r="C161" s="5">
        <v>3847.0</v>
      </c>
      <c r="D161" s="5">
        <v>12.0</v>
      </c>
      <c r="E161" s="5">
        <v>0.0</v>
      </c>
      <c r="F161" s="5">
        <f t="shared" si="1"/>
        <v>552160.8457</v>
      </c>
      <c r="G161" s="5">
        <f t="shared" si="2"/>
        <v>68812.18428</v>
      </c>
      <c r="H161" s="5">
        <f t="shared" si="3"/>
        <v>4735116706</v>
      </c>
      <c r="I161" s="5">
        <f t="shared" si="4"/>
        <v>68812.18428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>
        <v>650480.06</v>
      </c>
      <c r="B162" s="5">
        <v>41443.41</v>
      </c>
      <c r="C162" s="5">
        <v>7455.0</v>
      </c>
      <c r="D162" s="5">
        <v>16.0</v>
      </c>
      <c r="E162" s="5">
        <v>0.0</v>
      </c>
      <c r="F162" s="5">
        <f t="shared" si="1"/>
        <v>687237.4052</v>
      </c>
      <c r="G162" s="5">
        <f t="shared" si="2"/>
        <v>-36757.34515</v>
      </c>
      <c r="H162" s="5">
        <f t="shared" si="3"/>
        <v>1351102423</v>
      </c>
      <c r="I162" s="5">
        <f t="shared" si="4"/>
        <v>36757.34515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>
        <v>778298.88</v>
      </c>
      <c r="B163" s="5">
        <v>48438.85</v>
      </c>
      <c r="C163" s="5">
        <v>6992.0</v>
      </c>
      <c r="D163" s="5">
        <v>20.0</v>
      </c>
      <c r="E163" s="5">
        <v>0.0</v>
      </c>
      <c r="F163" s="5">
        <f t="shared" si="1"/>
        <v>690128.509</v>
      </c>
      <c r="G163" s="5">
        <f t="shared" si="2"/>
        <v>88170.37096</v>
      </c>
      <c r="H163" s="5">
        <f t="shared" si="3"/>
        <v>7774014314</v>
      </c>
      <c r="I163" s="5">
        <f t="shared" si="4"/>
        <v>88170.37096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>
        <v>677096.71</v>
      </c>
      <c r="B164" s="5">
        <v>57143.3</v>
      </c>
      <c r="C164" s="5">
        <v>8038.0</v>
      </c>
      <c r="D164" s="5">
        <v>17.0</v>
      </c>
      <c r="E164" s="5">
        <v>0.0</v>
      </c>
      <c r="F164" s="5">
        <f t="shared" si="1"/>
        <v>724186.7604</v>
      </c>
      <c r="G164" s="5">
        <f t="shared" si="2"/>
        <v>-47090.05039</v>
      </c>
      <c r="H164" s="5">
        <f t="shared" si="3"/>
        <v>2217472846</v>
      </c>
      <c r="I164" s="5">
        <f t="shared" si="4"/>
        <v>47090.05039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>
        <v>692008.64</v>
      </c>
      <c r="B165" s="5">
        <v>66870.62</v>
      </c>
      <c r="C165" s="5">
        <v>6055.0</v>
      </c>
      <c r="D165" s="5">
        <v>19.0</v>
      </c>
      <c r="E165" s="5">
        <v>0.0</v>
      </c>
      <c r="F165" s="5">
        <f t="shared" si="1"/>
        <v>681191.4421</v>
      </c>
      <c r="G165" s="5">
        <f t="shared" si="2"/>
        <v>10817.19785</v>
      </c>
      <c r="H165" s="5">
        <f t="shared" si="3"/>
        <v>117011769.4</v>
      </c>
      <c r="I165" s="5">
        <f t="shared" si="4"/>
        <v>10817.19785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>
        <v>825797.91</v>
      </c>
      <c r="B166" s="5">
        <v>72150.53</v>
      </c>
      <c r="C166" s="5">
        <v>9323.0</v>
      </c>
      <c r="D166" s="5">
        <v>22.0</v>
      </c>
      <c r="E166" s="5">
        <v>1.0</v>
      </c>
      <c r="F166" s="5">
        <f t="shared" si="1"/>
        <v>800005.8564</v>
      </c>
      <c r="G166" s="5">
        <f t="shared" si="2"/>
        <v>25792.05362</v>
      </c>
      <c r="H166" s="5">
        <f t="shared" si="3"/>
        <v>665230029.7</v>
      </c>
      <c r="I166" s="5">
        <f t="shared" si="4"/>
        <v>25792.05362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>
        <v>706285.52</v>
      </c>
      <c r="B167" s="5">
        <v>35303.3</v>
      </c>
      <c r="C167" s="5">
        <v>8789.0</v>
      </c>
      <c r="D167" s="5">
        <v>22.0</v>
      </c>
      <c r="E167" s="5">
        <v>0.0</v>
      </c>
      <c r="F167" s="5">
        <f t="shared" si="1"/>
        <v>732443.8609</v>
      </c>
      <c r="G167" s="5">
        <f t="shared" si="2"/>
        <v>-26158.34092</v>
      </c>
      <c r="H167" s="5">
        <f t="shared" si="3"/>
        <v>684258799.7</v>
      </c>
      <c r="I167" s="5">
        <f t="shared" si="4"/>
        <v>26158.34092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>
        <v>665534.7</v>
      </c>
      <c r="B168" s="5">
        <v>30301.86</v>
      </c>
      <c r="C168" s="5">
        <v>6939.0</v>
      </c>
      <c r="D168" s="5">
        <v>16.0</v>
      </c>
      <c r="E168" s="5">
        <v>0.0</v>
      </c>
      <c r="F168" s="5">
        <f t="shared" si="1"/>
        <v>659540.9884</v>
      </c>
      <c r="G168" s="5">
        <f t="shared" si="2"/>
        <v>5993.711574</v>
      </c>
      <c r="H168" s="5">
        <f t="shared" si="3"/>
        <v>35924578.43</v>
      </c>
      <c r="I168" s="5">
        <f t="shared" si="4"/>
        <v>5993.711574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>
        <v>820729.29</v>
      </c>
      <c r="B169" s="5">
        <v>78432.14</v>
      </c>
      <c r="C169" s="5">
        <v>9440.0</v>
      </c>
      <c r="D169" s="5">
        <v>23.0</v>
      </c>
      <c r="E169" s="5">
        <v>0.0</v>
      </c>
      <c r="F169" s="5">
        <f t="shared" si="1"/>
        <v>802258.9225</v>
      </c>
      <c r="G169" s="5">
        <f t="shared" si="2"/>
        <v>18470.36754</v>
      </c>
      <c r="H169" s="5">
        <f t="shared" si="3"/>
        <v>341154477</v>
      </c>
      <c r="I169" s="5">
        <f t="shared" si="4"/>
        <v>18470.36754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>
        <v>739831.73</v>
      </c>
      <c r="B170" s="5">
        <v>62059.18</v>
      </c>
      <c r="C170" s="5">
        <v>9374.0</v>
      </c>
      <c r="D170" s="5">
        <v>25.0</v>
      </c>
      <c r="E170" s="5">
        <v>0.0</v>
      </c>
      <c r="F170" s="5">
        <f t="shared" si="1"/>
        <v>786203.9704</v>
      </c>
      <c r="G170" s="5">
        <f t="shared" si="2"/>
        <v>-46372.24043</v>
      </c>
      <c r="H170" s="5">
        <f t="shared" si="3"/>
        <v>2150384682</v>
      </c>
      <c r="I170" s="5">
        <f t="shared" si="4"/>
        <v>46372.24043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>
        <v>593637.14</v>
      </c>
      <c r="B171" s="5">
        <v>32834.48</v>
      </c>
      <c r="C171" s="5">
        <v>7576.0</v>
      </c>
      <c r="D171" s="5">
        <v>15.0</v>
      </c>
      <c r="E171" s="5">
        <v>0.0</v>
      </c>
      <c r="F171" s="5">
        <f t="shared" si="1"/>
        <v>678948.6247</v>
      </c>
      <c r="G171" s="5">
        <f t="shared" si="2"/>
        <v>-85311.48474</v>
      </c>
      <c r="H171" s="5">
        <f t="shared" si="3"/>
        <v>7278049428</v>
      </c>
      <c r="I171" s="5">
        <f t="shared" si="4"/>
        <v>85311.48474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>
        <v>769702.76</v>
      </c>
      <c r="B172" s="5">
        <v>50825.08</v>
      </c>
      <c r="C172" s="5">
        <v>8949.0</v>
      </c>
      <c r="D172" s="5">
        <v>21.0</v>
      </c>
      <c r="E172" s="5">
        <v>0.0</v>
      </c>
      <c r="F172" s="5">
        <f t="shared" si="1"/>
        <v>752457.0977</v>
      </c>
      <c r="G172" s="5">
        <f t="shared" si="2"/>
        <v>17245.66233</v>
      </c>
      <c r="H172" s="5">
        <f t="shared" si="3"/>
        <v>297412869.4</v>
      </c>
      <c r="I172" s="5">
        <f t="shared" si="4"/>
        <v>17245.66233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>
        <v>679731.57</v>
      </c>
      <c r="B173" s="5">
        <v>36606.51</v>
      </c>
      <c r="C173" s="5">
        <v>7671.0</v>
      </c>
      <c r="D173" s="5">
        <v>18.0</v>
      </c>
      <c r="E173" s="5">
        <v>0.0</v>
      </c>
      <c r="F173" s="5">
        <f t="shared" si="1"/>
        <v>692448.9272</v>
      </c>
      <c r="G173" s="5">
        <f t="shared" si="2"/>
        <v>-12717.35722</v>
      </c>
      <c r="H173" s="5">
        <f t="shared" si="3"/>
        <v>161731174.5</v>
      </c>
      <c r="I173" s="5">
        <f t="shared" si="4"/>
        <v>12717.35722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>
        <v>780344.18</v>
      </c>
      <c r="B174" s="5">
        <v>65237.79</v>
      </c>
      <c r="C174" s="5">
        <v>8741.0</v>
      </c>
      <c r="D174" s="5">
        <v>20.0</v>
      </c>
      <c r="E174" s="5">
        <v>0.0</v>
      </c>
      <c r="F174" s="5">
        <f t="shared" si="1"/>
        <v>760411.9373</v>
      </c>
      <c r="G174" s="5">
        <f t="shared" si="2"/>
        <v>19932.24274</v>
      </c>
      <c r="H174" s="5">
        <f t="shared" si="3"/>
        <v>397294300.8</v>
      </c>
      <c r="I174" s="5">
        <f t="shared" si="4"/>
        <v>19932.24274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>
        <v>721364.11</v>
      </c>
      <c r="B175" s="5">
        <v>43645.98</v>
      </c>
      <c r="C175" s="5">
        <v>9480.0</v>
      </c>
      <c r="D175" s="5">
        <v>22.0</v>
      </c>
      <c r="E175" s="5">
        <v>0.0</v>
      </c>
      <c r="F175" s="5">
        <f t="shared" si="1"/>
        <v>762131.2196</v>
      </c>
      <c r="G175" s="5">
        <f t="shared" si="2"/>
        <v>-40767.10958</v>
      </c>
      <c r="H175" s="5">
        <f t="shared" si="3"/>
        <v>1661957224</v>
      </c>
      <c r="I175" s="5">
        <f t="shared" si="4"/>
        <v>40767.10958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>
        <v>758138.29</v>
      </c>
      <c r="B176" s="5">
        <v>68040.15</v>
      </c>
      <c r="C176" s="5">
        <v>9826.0</v>
      </c>
      <c r="D176" s="5">
        <v>20.0</v>
      </c>
      <c r="E176" s="5">
        <v>0.0</v>
      </c>
      <c r="F176" s="5">
        <f t="shared" si="1"/>
        <v>795438.3312</v>
      </c>
      <c r="G176" s="5">
        <f t="shared" si="2"/>
        <v>-37300.04116</v>
      </c>
      <c r="H176" s="5">
        <f t="shared" si="3"/>
        <v>1391293071</v>
      </c>
      <c r="I176" s="5">
        <f t="shared" si="4"/>
        <v>37300.04116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>
        <v>804264.0</v>
      </c>
      <c r="B177" s="5">
        <v>63043.94</v>
      </c>
      <c r="C177" s="5">
        <v>10402.0</v>
      </c>
      <c r="D177" s="5">
        <v>23.0</v>
      </c>
      <c r="E177" s="5">
        <v>0.0</v>
      </c>
      <c r="F177" s="5">
        <f t="shared" si="1"/>
        <v>813200.7005</v>
      </c>
      <c r="G177" s="5">
        <f t="shared" si="2"/>
        <v>-8936.700515</v>
      </c>
      <c r="H177" s="5">
        <f t="shared" si="3"/>
        <v>79864616.1</v>
      </c>
      <c r="I177" s="5">
        <f t="shared" si="4"/>
        <v>8936.700515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>
        <v>887537.75</v>
      </c>
      <c r="B178" s="5">
        <v>67494.09</v>
      </c>
      <c r="C178" s="5">
        <v>12361.0</v>
      </c>
      <c r="D178" s="5">
        <v>24.0</v>
      </c>
      <c r="E178" s="5">
        <v>1.0</v>
      </c>
      <c r="F178" s="5">
        <f t="shared" si="1"/>
        <v>888318.7498</v>
      </c>
      <c r="G178" s="5">
        <f t="shared" si="2"/>
        <v>-780.9997927</v>
      </c>
      <c r="H178" s="5">
        <f t="shared" si="3"/>
        <v>609960.6761</v>
      </c>
      <c r="I178" s="5">
        <f t="shared" si="4"/>
        <v>780.9997927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>
        <v>783582.0</v>
      </c>
      <c r="B179" s="5">
        <v>29389.32</v>
      </c>
      <c r="C179" s="5">
        <v>7925.0</v>
      </c>
      <c r="D179" s="5">
        <v>21.0</v>
      </c>
      <c r="E179" s="5">
        <v>0.0</v>
      </c>
      <c r="F179" s="5">
        <f t="shared" si="1"/>
        <v>698252.8546</v>
      </c>
      <c r="G179" s="5">
        <f t="shared" si="2"/>
        <v>85329.14542</v>
      </c>
      <c r="H179" s="5">
        <f t="shared" si="3"/>
        <v>7281063058</v>
      </c>
      <c r="I179" s="5">
        <f t="shared" si="4"/>
        <v>85329.14542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>
        <v>781955.52</v>
      </c>
      <c r="B180" s="5">
        <v>40535.09</v>
      </c>
      <c r="C180" s="5">
        <v>8870.0</v>
      </c>
      <c r="D180" s="5">
        <v>21.0</v>
      </c>
      <c r="E180" s="5">
        <v>0.0</v>
      </c>
      <c r="F180" s="5">
        <f t="shared" si="1"/>
        <v>738556.2047</v>
      </c>
      <c r="G180" s="5">
        <f t="shared" si="2"/>
        <v>43399.31533</v>
      </c>
      <c r="H180" s="5">
        <f t="shared" si="3"/>
        <v>1883500571</v>
      </c>
      <c r="I180" s="5">
        <f t="shared" si="4"/>
        <v>43399.31533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>
        <v>898031.04</v>
      </c>
      <c r="B181" s="5">
        <v>74881.56</v>
      </c>
      <c r="C181" s="5">
        <v>9999.0</v>
      </c>
      <c r="D181" s="5">
        <v>20.0</v>
      </c>
      <c r="E181" s="5">
        <v>0.0</v>
      </c>
      <c r="F181" s="5">
        <f t="shared" si="1"/>
        <v>808219.5581</v>
      </c>
      <c r="G181" s="5">
        <f t="shared" si="2"/>
        <v>89811.48186</v>
      </c>
      <c r="H181" s="5">
        <f t="shared" si="3"/>
        <v>8066102273</v>
      </c>
      <c r="I181" s="5">
        <f t="shared" si="4"/>
        <v>89811.48186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>
        <v>855341.28</v>
      </c>
      <c r="B182" s="5">
        <v>68491.11</v>
      </c>
      <c r="C182" s="5">
        <v>11154.0</v>
      </c>
      <c r="D182" s="5">
        <v>24.0</v>
      </c>
      <c r="E182" s="5">
        <v>1.0</v>
      </c>
      <c r="F182" s="5">
        <f t="shared" si="1"/>
        <v>853984.2871</v>
      </c>
      <c r="G182" s="5">
        <f t="shared" si="2"/>
        <v>1356.992865</v>
      </c>
      <c r="H182" s="5">
        <f t="shared" si="3"/>
        <v>1841429.634</v>
      </c>
      <c r="I182" s="5">
        <f t="shared" si="4"/>
        <v>1356.992865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>
        <v>751393.88</v>
      </c>
      <c r="B183" s="5">
        <v>45209.25</v>
      </c>
      <c r="C183" s="5">
        <v>9287.0</v>
      </c>
      <c r="D183" s="5">
        <v>22.0</v>
      </c>
      <c r="E183" s="5">
        <v>0.0</v>
      </c>
      <c r="F183" s="5">
        <f t="shared" si="1"/>
        <v>758220.9877</v>
      </c>
      <c r="G183" s="5">
        <f t="shared" si="2"/>
        <v>-6827.107687</v>
      </c>
      <c r="H183" s="5">
        <f t="shared" si="3"/>
        <v>46609399.37</v>
      </c>
      <c r="I183" s="5">
        <f t="shared" si="4"/>
        <v>6827.107687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>
        <v>761077.08</v>
      </c>
      <c r="B184" s="5">
        <v>63010.23</v>
      </c>
      <c r="C184" s="5">
        <v>9812.0</v>
      </c>
      <c r="D184" s="5">
        <v>24.0</v>
      </c>
      <c r="E184" s="5">
        <v>1.0</v>
      </c>
      <c r="F184" s="5">
        <f t="shared" si="1"/>
        <v>808393.964</v>
      </c>
      <c r="G184" s="5">
        <f t="shared" si="2"/>
        <v>-47316.88397</v>
      </c>
      <c r="H184" s="5">
        <f t="shared" si="3"/>
        <v>2238887509</v>
      </c>
      <c r="I184" s="5">
        <f t="shared" si="4"/>
        <v>47316.88397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>
        <v>819660.59</v>
      </c>
      <c r="B185" s="5">
        <v>57948.88</v>
      </c>
      <c r="C185" s="5">
        <v>10741.0</v>
      </c>
      <c r="D185" s="5">
        <v>25.0</v>
      </c>
      <c r="E185" s="5">
        <v>0.0</v>
      </c>
      <c r="F185" s="5">
        <f t="shared" si="1"/>
        <v>821734.9066</v>
      </c>
      <c r="G185" s="5">
        <f t="shared" si="2"/>
        <v>-2074.316581</v>
      </c>
      <c r="H185" s="5">
        <f t="shared" si="3"/>
        <v>4302789.278</v>
      </c>
      <c r="I185" s="5">
        <f t="shared" si="4"/>
        <v>2074.316581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>
        <v>681855.56</v>
      </c>
      <c r="B186" s="5">
        <v>71941.62</v>
      </c>
      <c r="C186" s="5">
        <v>6084.0</v>
      </c>
      <c r="D186" s="5">
        <v>13.0</v>
      </c>
      <c r="E186" s="5">
        <v>0.0</v>
      </c>
      <c r="F186" s="5">
        <f t="shared" si="1"/>
        <v>674820.9324</v>
      </c>
      <c r="G186" s="5">
        <f t="shared" si="2"/>
        <v>7034.627593</v>
      </c>
      <c r="H186" s="5">
        <f t="shared" si="3"/>
        <v>49485985.37</v>
      </c>
      <c r="I186" s="5">
        <f t="shared" si="4"/>
        <v>7034.627593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>
        <v>678311.17</v>
      </c>
      <c r="B187" s="5">
        <v>57147.88</v>
      </c>
      <c r="C187" s="5">
        <v>5252.0</v>
      </c>
      <c r="D187" s="5">
        <v>15.0</v>
      </c>
      <c r="E187" s="5">
        <v>0.0</v>
      </c>
      <c r="F187" s="5">
        <f t="shared" si="1"/>
        <v>638041.4104</v>
      </c>
      <c r="G187" s="5">
        <f t="shared" si="2"/>
        <v>40269.75965</v>
      </c>
      <c r="H187" s="5">
        <f t="shared" si="3"/>
        <v>1621653542</v>
      </c>
      <c r="I187" s="5">
        <f t="shared" si="4"/>
        <v>40269.75965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>
        <v>765906.95</v>
      </c>
      <c r="B188" s="5">
        <v>48031.74</v>
      </c>
      <c r="C188" s="5">
        <v>6516.0</v>
      </c>
      <c r="D188" s="5">
        <v>14.0</v>
      </c>
      <c r="E188" s="5">
        <v>1.0</v>
      </c>
      <c r="F188" s="5">
        <f t="shared" si="1"/>
        <v>673166.2743</v>
      </c>
      <c r="G188" s="5">
        <f t="shared" si="2"/>
        <v>92740.67574</v>
      </c>
      <c r="H188" s="5">
        <f t="shared" si="3"/>
        <v>8600832936</v>
      </c>
      <c r="I188" s="5">
        <f t="shared" si="4"/>
        <v>92740.67574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>
        <v>712546.38</v>
      </c>
      <c r="B189" s="5">
        <v>72784.8</v>
      </c>
      <c r="C189" s="5">
        <v>7932.0</v>
      </c>
      <c r="D189" s="5">
        <v>20.0</v>
      </c>
      <c r="E189" s="5">
        <v>0.0</v>
      </c>
      <c r="F189" s="5">
        <f t="shared" si="1"/>
        <v>745140.2788</v>
      </c>
      <c r="G189" s="5">
        <f t="shared" si="2"/>
        <v>-32593.89876</v>
      </c>
      <c r="H189" s="5">
        <f t="shared" si="3"/>
        <v>1062362237</v>
      </c>
      <c r="I189" s="5">
        <f t="shared" si="4"/>
        <v>32593.89876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>
        <v>625993.83</v>
      </c>
      <c r="B190" s="5">
        <v>71641.9</v>
      </c>
      <c r="C190" s="5">
        <v>3506.0</v>
      </c>
      <c r="D190" s="5">
        <v>11.0</v>
      </c>
      <c r="E190" s="5">
        <v>0.0</v>
      </c>
      <c r="F190" s="5">
        <f t="shared" si="1"/>
        <v>594443.2773</v>
      </c>
      <c r="G190" s="5">
        <f t="shared" si="2"/>
        <v>31550.55267</v>
      </c>
      <c r="H190" s="5">
        <f t="shared" si="3"/>
        <v>995437373.9</v>
      </c>
      <c r="I190" s="5">
        <f t="shared" si="4"/>
        <v>31550.55267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>
        <v>550962.93</v>
      </c>
      <c r="B191" s="5">
        <v>55788.61</v>
      </c>
      <c r="C191" s="5">
        <v>2312.0</v>
      </c>
      <c r="D191" s="5">
        <v>10.0</v>
      </c>
      <c r="E191" s="5">
        <v>0.0</v>
      </c>
      <c r="F191" s="5">
        <f t="shared" si="1"/>
        <v>539372.7224</v>
      </c>
      <c r="G191" s="5">
        <f t="shared" si="2"/>
        <v>11590.20755</v>
      </c>
      <c r="H191" s="5">
        <f t="shared" si="3"/>
        <v>134332911.2</v>
      </c>
      <c r="I191" s="5">
        <f t="shared" si="4"/>
        <v>11590.20755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>
        <v>443275.59</v>
      </c>
      <c r="B192" s="5">
        <v>37705.88</v>
      </c>
      <c r="C192" s="5">
        <v>1268.0</v>
      </c>
      <c r="D192" s="5">
        <v>9.0</v>
      </c>
      <c r="E192" s="5">
        <v>0.0</v>
      </c>
      <c r="F192" s="5">
        <f t="shared" si="1"/>
        <v>486199.545</v>
      </c>
      <c r="G192" s="5">
        <f t="shared" si="2"/>
        <v>-42923.95504</v>
      </c>
      <c r="H192" s="5">
        <f t="shared" si="3"/>
        <v>1842465917</v>
      </c>
      <c r="I192" s="5">
        <f t="shared" si="4"/>
        <v>42923.95504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>
        <v>554012.07</v>
      </c>
      <c r="B193" s="5">
        <v>54966.18</v>
      </c>
      <c r="C193" s="5">
        <v>4423.0</v>
      </c>
      <c r="D193" s="5">
        <v>13.0</v>
      </c>
      <c r="E193" s="5">
        <v>0.0</v>
      </c>
      <c r="F193" s="5">
        <f t="shared" si="1"/>
        <v>606923.937</v>
      </c>
      <c r="G193" s="5">
        <f t="shared" si="2"/>
        <v>-52911.86699</v>
      </c>
      <c r="H193" s="5">
        <f t="shared" si="3"/>
        <v>2799665669</v>
      </c>
      <c r="I193" s="5">
        <f t="shared" si="4"/>
        <v>52911.86699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>
        <v>643428.85</v>
      </c>
      <c r="B194" s="5">
        <v>81796.74</v>
      </c>
      <c r="C194" s="5">
        <v>6177.0</v>
      </c>
      <c r="D194" s="5">
        <v>14.0</v>
      </c>
      <c r="E194" s="5">
        <v>0.0</v>
      </c>
      <c r="F194" s="5">
        <f t="shared" si="1"/>
        <v>690798.5619</v>
      </c>
      <c r="G194" s="5">
        <f t="shared" si="2"/>
        <v>-47369.7119</v>
      </c>
      <c r="H194" s="5">
        <f t="shared" si="3"/>
        <v>2243889606</v>
      </c>
      <c r="I194" s="5">
        <f t="shared" si="4"/>
        <v>47369.7119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>
        <v>611924.27</v>
      </c>
      <c r="B195" s="5">
        <v>51133.43</v>
      </c>
      <c r="C195" s="5">
        <v>5150.0</v>
      </c>
      <c r="D195" s="5">
        <v>12.0</v>
      </c>
      <c r="E195" s="5">
        <v>0.0</v>
      </c>
      <c r="F195" s="5">
        <f t="shared" si="1"/>
        <v>621811.8897</v>
      </c>
      <c r="G195" s="5">
        <f t="shared" si="2"/>
        <v>-9887.619674</v>
      </c>
      <c r="H195" s="5">
        <f t="shared" si="3"/>
        <v>97765022.82</v>
      </c>
      <c r="I195" s="5">
        <f t="shared" si="4"/>
        <v>9887.619674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>
        <v>559422.02</v>
      </c>
      <c r="B196" s="5">
        <v>40220.18</v>
      </c>
      <c r="C196" s="5">
        <v>3783.0</v>
      </c>
      <c r="D196" s="5">
        <v>14.0</v>
      </c>
      <c r="E196" s="5">
        <v>0.0</v>
      </c>
      <c r="F196" s="5">
        <f t="shared" si="1"/>
        <v>573683.4062</v>
      </c>
      <c r="G196" s="5">
        <f t="shared" si="2"/>
        <v>-14261.38623</v>
      </c>
      <c r="H196" s="5">
        <f t="shared" si="3"/>
        <v>203387137.2</v>
      </c>
      <c r="I196" s="5">
        <f t="shared" si="4"/>
        <v>14261.38623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>
        <v>449465.06</v>
      </c>
      <c r="B197" s="5">
        <v>41657.64</v>
      </c>
      <c r="C197" s="5">
        <v>3135.0</v>
      </c>
      <c r="D197" s="5">
        <v>7.0</v>
      </c>
      <c r="E197" s="5">
        <v>0.0</v>
      </c>
      <c r="F197" s="5">
        <f t="shared" si="1"/>
        <v>541181.5253</v>
      </c>
      <c r="G197" s="5">
        <f t="shared" si="2"/>
        <v>-91716.46528</v>
      </c>
      <c r="H197" s="5">
        <f t="shared" si="3"/>
        <v>8411910003</v>
      </c>
      <c r="I197" s="5">
        <f t="shared" si="4"/>
        <v>91716.46528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>
        <v>691447.43</v>
      </c>
      <c r="B198" s="5">
        <v>71851.45</v>
      </c>
      <c r="C198" s="5">
        <v>4970.0</v>
      </c>
      <c r="D198" s="5">
        <v>11.0</v>
      </c>
      <c r="E198" s="5">
        <v>0.0</v>
      </c>
      <c r="F198" s="5">
        <f t="shared" si="1"/>
        <v>637685.1573</v>
      </c>
      <c r="G198" s="5">
        <f t="shared" si="2"/>
        <v>53762.27273</v>
      </c>
      <c r="H198" s="5">
        <f t="shared" si="3"/>
        <v>2890381969</v>
      </c>
      <c r="I198" s="5">
        <f t="shared" si="4"/>
        <v>53762.27273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>
        <v>574066.61</v>
      </c>
      <c r="B199" s="5">
        <v>54002.83</v>
      </c>
      <c r="C199" s="5">
        <v>4366.0</v>
      </c>
      <c r="D199" s="5">
        <v>15.0</v>
      </c>
      <c r="E199" s="5">
        <v>0.0</v>
      </c>
      <c r="F199" s="5">
        <f t="shared" si="1"/>
        <v>608475.1263</v>
      </c>
      <c r="G199" s="5">
        <f t="shared" si="2"/>
        <v>-34408.51635</v>
      </c>
      <c r="H199" s="5">
        <f t="shared" si="3"/>
        <v>1183945997</v>
      </c>
      <c r="I199" s="5">
        <f t="shared" si="4"/>
        <v>34408.51635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>
        <v>578949.84</v>
      </c>
      <c r="B200" s="5">
        <v>54479.33</v>
      </c>
      <c r="C200" s="5">
        <v>5012.0</v>
      </c>
      <c r="D200" s="5">
        <v>13.0</v>
      </c>
      <c r="E200" s="5">
        <v>1.0</v>
      </c>
      <c r="F200" s="5">
        <f t="shared" si="1"/>
        <v>634086.3448</v>
      </c>
      <c r="G200" s="5">
        <f t="shared" si="2"/>
        <v>-55136.50484</v>
      </c>
      <c r="H200" s="5">
        <f t="shared" si="3"/>
        <v>3040034166</v>
      </c>
      <c r="I200" s="5">
        <f t="shared" si="4"/>
        <v>55136.50484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>
        <v>735786.64</v>
      </c>
      <c r="B201" s="5">
        <v>61391.8</v>
      </c>
      <c r="C201" s="5">
        <v>5575.0</v>
      </c>
      <c r="D201" s="5">
        <v>18.0</v>
      </c>
      <c r="E201" s="5">
        <v>0.0</v>
      </c>
      <c r="F201" s="5">
        <f t="shared" si="1"/>
        <v>658770.4356</v>
      </c>
      <c r="G201" s="5">
        <f t="shared" si="2"/>
        <v>77016.20441</v>
      </c>
      <c r="H201" s="5">
        <f t="shared" si="3"/>
        <v>5931495741</v>
      </c>
      <c r="I201" s="5">
        <f t="shared" si="4"/>
        <v>77016.20441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>
        <v>598904.9</v>
      </c>
      <c r="B202" s="5">
        <v>22312.93</v>
      </c>
      <c r="C202" s="5">
        <v>5955.0</v>
      </c>
      <c r="D202" s="5">
        <v>13.0</v>
      </c>
      <c r="E202" s="5">
        <v>1.0</v>
      </c>
      <c r="F202" s="5">
        <f t="shared" si="1"/>
        <v>625588.0322</v>
      </c>
      <c r="G202" s="5">
        <f t="shared" si="2"/>
        <v>-26683.13223</v>
      </c>
      <c r="H202" s="5">
        <f t="shared" si="3"/>
        <v>711989545.5</v>
      </c>
      <c r="I202" s="5">
        <f t="shared" si="4"/>
        <v>26683.13223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>
        <v>787715.51</v>
      </c>
      <c r="B203" s="5">
        <v>78111.97</v>
      </c>
      <c r="C203" s="5">
        <v>6389.0</v>
      </c>
      <c r="D203" s="5">
        <v>13.0</v>
      </c>
      <c r="E203" s="5">
        <v>0.0</v>
      </c>
      <c r="F203" s="5">
        <f t="shared" si="1"/>
        <v>690724.553</v>
      </c>
      <c r="G203" s="5">
        <f t="shared" si="2"/>
        <v>96990.95702</v>
      </c>
      <c r="H203" s="5">
        <f t="shared" si="3"/>
        <v>9407245743</v>
      </c>
      <c r="I203" s="5">
        <f t="shared" si="4"/>
        <v>96990.95702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>
        <v>607084.92</v>
      </c>
      <c r="B204" s="5">
        <v>35203.23</v>
      </c>
      <c r="C204" s="5">
        <v>6896.0</v>
      </c>
      <c r="D204" s="5">
        <v>14.0</v>
      </c>
      <c r="E204" s="5">
        <v>1.0</v>
      </c>
      <c r="F204" s="5">
        <f t="shared" si="1"/>
        <v>669892.0222</v>
      </c>
      <c r="G204" s="5">
        <f t="shared" si="2"/>
        <v>-62807.10217</v>
      </c>
      <c r="H204" s="5">
        <f t="shared" si="3"/>
        <v>3944732084</v>
      </c>
      <c r="I204" s="5">
        <f t="shared" si="4"/>
        <v>62807.10217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>
        <v>650795.49</v>
      </c>
      <c r="B205" s="5">
        <v>64104.28</v>
      </c>
      <c r="C205" s="5">
        <v>6015.0</v>
      </c>
      <c r="D205" s="5">
        <v>15.0</v>
      </c>
      <c r="E205" s="5">
        <v>0.0</v>
      </c>
      <c r="F205" s="5">
        <f t="shared" si="1"/>
        <v>668283.7208</v>
      </c>
      <c r="G205" s="5">
        <f t="shared" si="2"/>
        <v>-17488.23076</v>
      </c>
      <c r="H205" s="5">
        <f t="shared" si="3"/>
        <v>305838215.1</v>
      </c>
      <c r="I205" s="5">
        <f t="shared" si="4"/>
        <v>17488.23076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>
        <v>825060.52</v>
      </c>
      <c r="B206" s="5">
        <v>92090.14</v>
      </c>
      <c r="C206" s="5">
        <v>9476.0</v>
      </c>
      <c r="D206" s="5">
        <v>24.0</v>
      </c>
      <c r="E206" s="5">
        <v>0.0</v>
      </c>
      <c r="F206" s="5">
        <f t="shared" si="1"/>
        <v>820841.8439</v>
      </c>
      <c r="G206" s="5">
        <f t="shared" si="2"/>
        <v>4218.676086</v>
      </c>
      <c r="H206" s="5">
        <f t="shared" si="3"/>
        <v>17797227.92</v>
      </c>
      <c r="I206" s="5">
        <f t="shared" si="4"/>
        <v>4218.676086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>
        <v>795464.47</v>
      </c>
      <c r="B207" s="5">
        <v>54300.87</v>
      </c>
      <c r="C207" s="5">
        <v>7875.0</v>
      </c>
      <c r="D207" s="5">
        <v>19.0</v>
      </c>
      <c r="E207" s="5">
        <v>0.0</v>
      </c>
      <c r="F207" s="5">
        <f t="shared" si="1"/>
        <v>720509.4329</v>
      </c>
      <c r="G207" s="5">
        <f t="shared" si="2"/>
        <v>74955.03706</v>
      </c>
      <c r="H207" s="5">
        <f t="shared" si="3"/>
        <v>5618257580</v>
      </c>
      <c r="I207" s="5">
        <f t="shared" si="4"/>
        <v>74955.03706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>
        <v>671868.59</v>
      </c>
      <c r="B208" s="5">
        <v>37983.35</v>
      </c>
      <c r="C208" s="5">
        <v>9283.0</v>
      </c>
      <c r="D208" s="5">
        <v>19.0</v>
      </c>
      <c r="E208" s="5">
        <v>0.0</v>
      </c>
      <c r="F208" s="5">
        <f t="shared" si="1"/>
        <v>743506.9387</v>
      </c>
      <c r="G208" s="5">
        <f t="shared" si="2"/>
        <v>-71638.34874</v>
      </c>
      <c r="H208" s="5">
        <f t="shared" si="3"/>
        <v>5132053010</v>
      </c>
      <c r="I208" s="5">
        <f t="shared" si="4"/>
        <v>71638.34874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>
        <v>675917.63</v>
      </c>
      <c r="B209" s="5">
        <v>56413.83</v>
      </c>
      <c r="C209" s="5">
        <v>8303.0</v>
      </c>
      <c r="D209" s="5">
        <v>18.0</v>
      </c>
      <c r="E209" s="5">
        <v>0.0</v>
      </c>
      <c r="F209" s="5">
        <f t="shared" si="1"/>
        <v>733305.2641</v>
      </c>
      <c r="G209" s="5">
        <f t="shared" si="2"/>
        <v>-57387.6341</v>
      </c>
      <c r="H209" s="5">
        <f t="shared" si="3"/>
        <v>3293340547</v>
      </c>
      <c r="I209" s="5">
        <f t="shared" si="4"/>
        <v>57387.6341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>
        <v>810446.53</v>
      </c>
      <c r="B210" s="5">
        <v>63457.19</v>
      </c>
      <c r="C210" s="5">
        <v>10125.0</v>
      </c>
      <c r="D210" s="5">
        <v>24.0</v>
      </c>
      <c r="E210" s="5">
        <v>1.0</v>
      </c>
      <c r="F210" s="5">
        <f t="shared" si="1"/>
        <v>818091.5671</v>
      </c>
      <c r="G210" s="5">
        <f t="shared" si="2"/>
        <v>-7645.037132</v>
      </c>
      <c r="H210" s="5">
        <f t="shared" si="3"/>
        <v>58446592.75</v>
      </c>
      <c r="I210" s="5">
        <f t="shared" si="4"/>
        <v>7645.037132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>
        <v>691288.19</v>
      </c>
      <c r="B211" s="5">
        <v>62949.7</v>
      </c>
      <c r="C211" s="5">
        <v>9458.0</v>
      </c>
      <c r="D211" s="5">
        <v>19.0</v>
      </c>
      <c r="E211" s="5">
        <v>0.0</v>
      </c>
      <c r="F211" s="5">
        <f t="shared" si="1"/>
        <v>776744.4715</v>
      </c>
      <c r="G211" s="5">
        <f t="shared" si="2"/>
        <v>-85456.28152</v>
      </c>
      <c r="H211" s="5">
        <f t="shared" si="3"/>
        <v>7302776051</v>
      </c>
      <c r="I211" s="5">
        <f t="shared" si="4"/>
        <v>85456.28152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>
        <v>946833.54</v>
      </c>
      <c r="B212" s="5">
        <v>107970.19</v>
      </c>
      <c r="C212" s="5">
        <v>12870.0</v>
      </c>
      <c r="D212" s="5">
        <v>31.0</v>
      </c>
      <c r="E212" s="5">
        <v>1.0</v>
      </c>
      <c r="F212" s="5">
        <f t="shared" si="1"/>
        <v>963906.3407</v>
      </c>
      <c r="G212" s="5">
        <f t="shared" si="2"/>
        <v>-17072.80065</v>
      </c>
      <c r="H212" s="5">
        <f t="shared" si="3"/>
        <v>291480522.1</v>
      </c>
      <c r="I212" s="5">
        <f t="shared" si="4"/>
        <v>17072.80065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>
        <v>761963.23</v>
      </c>
      <c r="B213" s="5">
        <v>49405.75</v>
      </c>
      <c r="C213" s="5">
        <v>9752.0</v>
      </c>
      <c r="D213" s="5">
        <v>21.0</v>
      </c>
      <c r="E213" s="5">
        <v>0.0</v>
      </c>
      <c r="F213" s="5">
        <f t="shared" si="1"/>
        <v>774448.5073</v>
      </c>
      <c r="G213" s="5">
        <f t="shared" si="2"/>
        <v>-12485.27733</v>
      </c>
      <c r="H213" s="5">
        <f t="shared" si="3"/>
        <v>155882150</v>
      </c>
      <c r="I213" s="5">
        <f t="shared" si="4"/>
        <v>12485.27733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>
        <v>812152.6</v>
      </c>
      <c r="B214" s="5">
        <v>50887.46</v>
      </c>
      <c r="C214" s="5">
        <v>9505.0</v>
      </c>
      <c r="D214" s="5">
        <v>25.0</v>
      </c>
      <c r="E214" s="5">
        <v>0.0</v>
      </c>
      <c r="F214" s="5">
        <f t="shared" si="1"/>
        <v>777479.6922</v>
      </c>
      <c r="G214" s="5">
        <f t="shared" si="2"/>
        <v>34672.90782</v>
      </c>
      <c r="H214" s="5">
        <f t="shared" si="3"/>
        <v>1202210537</v>
      </c>
      <c r="I214" s="5">
        <f t="shared" si="4"/>
        <v>34672.90782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>
        <v>804975.5</v>
      </c>
      <c r="B215" s="5">
        <v>41819.45</v>
      </c>
      <c r="C215" s="5">
        <v>9412.0</v>
      </c>
      <c r="D215" s="5">
        <v>22.0</v>
      </c>
      <c r="E215" s="5">
        <v>0.0</v>
      </c>
      <c r="F215" s="5">
        <f t="shared" si="1"/>
        <v>758078.1192</v>
      </c>
      <c r="G215" s="5">
        <f t="shared" si="2"/>
        <v>46897.38079</v>
      </c>
      <c r="H215" s="5">
        <f t="shared" si="3"/>
        <v>2199364325</v>
      </c>
      <c r="I215" s="5">
        <f t="shared" si="4"/>
        <v>46897.38079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>
        <v>752321.72</v>
      </c>
      <c r="B216" s="5">
        <v>35296.54</v>
      </c>
      <c r="C216" s="5">
        <v>9644.0</v>
      </c>
      <c r="D216" s="5">
        <v>22.0</v>
      </c>
      <c r="E216" s="5">
        <v>0.0</v>
      </c>
      <c r="F216" s="5">
        <f t="shared" si="1"/>
        <v>757552.4946</v>
      </c>
      <c r="G216" s="5">
        <f t="shared" si="2"/>
        <v>-5230.77462</v>
      </c>
      <c r="H216" s="5">
        <f t="shared" si="3"/>
        <v>27361003.13</v>
      </c>
      <c r="I216" s="5">
        <f t="shared" si="4"/>
        <v>5230.77462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>
        <v>836908.24</v>
      </c>
      <c r="B217" s="5">
        <v>47391.09</v>
      </c>
      <c r="C217" s="5">
        <v>11224.0</v>
      </c>
      <c r="D217" s="5">
        <v>25.0</v>
      </c>
      <c r="E217" s="5">
        <v>0.0</v>
      </c>
      <c r="F217" s="5">
        <f t="shared" si="1"/>
        <v>824041.7903</v>
      </c>
      <c r="G217" s="5">
        <f t="shared" si="2"/>
        <v>12866.44968</v>
      </c>
      <c r="H217" s="5">
        <f t="shared" si="3"/>
        <v>165545527.5</v>
      </c>
      <c r="I217" s="5">
        <f t="shared" si="4"/>
        <v>12866.44968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>
        <v>674289.1</v>
      </c>
      <c r="B218" s="5">
        <v>69180.54</v>
      </c>
      <c r="C218" s="5">
        <v>5394.0</v>
      </c>
      <c r="D218" s="5">
        <v>12.0</v>
      </c>
      <c r="E218" s="5">
        <v>0.0</v>
      </c>
      <c r="F218" s="5">
        <f t="shared" si="1"/>
        <v>649289.5311</v>
      </c>
      <c r="G218" s="5">
        <f t="shared" si="2"/>
        <v>24999.56888</v>
      </c>
      <c r="H218" s="5">
        <f t="shared" si="3"/>
        <v>624978444</v>
      </c>
      <c r="I218" s="5">
        <f t="shared" si="4"/>
        <v>24999.56888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>
        <v>622892.42</v>
      </c>
      <c r="B219" s="5">
        <v>33987.33</v>
      </c>
      <c r="C219" s="5">
        <v>5014.0</v>
      </c>
      <c r="D219" s="5">
        <v>17.0</v>
      </c>
      <c r="E219" s="5">
        <v>0.0</v>
      </c>
      <c r="F219" s="5">
        <f t="shared" si="1"/>
        <v>609295.1753</v>
      </c>
      <c r="G219" s="5">
        <f t="shared" si="2"/>
        <v>13597.24466</v>
      </c>
      <c r="H219" s="5">
        <f t="shared" si="3"/>
        <v>184885062.4</v>
      </c>
      <c r="I219" s="5">
        <f t="shared" si="4"/>
        <v>13597.24466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>
        <v>673348.56</v>
      </c>
      <c r="B220" s="5">
        <v>58785.33</v>
      </c>
      <c r="C220" s="5">
        <v>4467.0</v>
      </c>
      <c r="D220" s="5">
        <v>14.0</v>
      </c>
      <c r="E220" s="5">
        <v>0.0</v>
      </c>
      <c r="F220" s="5">
        <f t="shared" si="1"/>
        <v>614669.3598</v>
      </c>
      <c r="G220" s="5">
        <f t="shared" si="2"/>
        <v>58679.20018</v>
      </c>
      <c r="H220" s="5">
        <f t="shared" si="3"/>
        <v>3443248533</v>
      </c>
      <c r="I220" s="5">
        <f t="shared" si="4"/>
        <v>58679.20018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>
        <v>606278.3</v>
      </c>
      <c r="B221" s="5">
        <v>16451.85</v>
      </c>
      <c r="C221" s="5">
        <v>4678.0</v>
      </c>
      <c r="D221" s="5">
        <v>11.0</v>
      </c>
      <c r="E221" s="5">
        <v>0.0</v>
      </c>
      <c r="F221" s="5">
        <f t="shared" si="1"/>
        <v>566761.5106</v>
      </c>
      <c r="G221" s="5">
        <f t="shared" si="2"/>
        <v>39516.7894</v>
      </c>
      <c r="H221" s="5">
        <f t="shared" si="3"/>
        <v>1561576644</v>
      </c>
      <c r="I221" s="5">
        <f t="shared" si="4"/>
        <v>39516.7894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>
        <v>712219.81</v>
      </c>
      <c r="B222" s="5">
        <v>53367.73</v>
      </c>
      <c r="C222" s="5">
        <v>7291.0</v>
      </c>
      <c r="D222" s="5">
        <v>18.0</v>
      </c>
      <c r="E222" s="5">
        <v>1.0</v>
      </c>
      <c r="F222" s="5">
        <f t="shared" si="1"/>
        <v>710556.9987</v>
      </c>
      <c r="G222" s="5">
        <f t="shared" si="2"/>
        <v>1662.811313</v>
      </c>
      <c r="H222" s="5">
        <f t="shared" si="3"/>
        <v>2764941.462</v>
      </c>
      <c r="I222" s="5">
        <f t="shared" si="4"/>
        <v>1662.811313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>
        <v>672670.54</v>
      </c>
      <c r="B223" s="5">
        <v>27194.64</v>
      </c>
      <c r="C223" s="5">
        <v>7404.0</v>
      </c>
      <c r="D223" s="5">
        <v>18.0</v>
      </c>
      <c r="E223" s="5">
        <v>0.0</v>
      </c>
      <c r="F223" s="5">
        <f t="shared" si="1"/>
        <v>674013.6227</v>
      </c>
      <c r="G223" s="5">
        <f t="shared" si="2"/>
        <v>-1343.082692</v>
      </c>
      <c r="H223" s="5">
        <f t="shared" si="3"/>
        <v>1803871.118</v>
      </c>
      <c r="I223" s="5">
        <f t="shared" si="4"/>
        <v>1343.082692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>
        <v>732667.92</v>
      </c>
      <c r="B224" s="5">
        <v>66962.74</v>
      </c>
      <c r="C224" s="5">
        <v>7880.0</v>
      </c>
      <c r="D224" s="5">
        <v>19.0</v>
      </c>
      <c r="E224" s="5">
        <v>0.0</v>
      </c>
      <c r="F224" s="5">
        <f t="shared" si="1"/>
        <v>734905.8032</v>
      </c>
      <c r="G224" s="5">
        <f t="shared" si="2"/>
        <v>-2237.883224</v>
      </c>
      <c r="H224" s="5">
        <f t="shared" si="3"/>
        <v>5008121.323</v>
      </c>
      <c r="I224" s="5">
        <f t="shared" si="4"/>
        <v>2237.883224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>
        <v>723531.4</v>
      </c>
      <c r="B225" s="5">
        <v>73540.99</v>
      </c>
      <c r="C225" s="5">
        <v>8773.0</v>
      </c>
      <c r="D225" s="5">
        <v>21.0</v>
      </c>
      <c r="E225" s="5">
        <v>0.0</v>
      </c>
      <c r="F225" s="5">
        <f t="shared" si="1"/>
        <v>772851.1387</v>
      </c>
      <c r="G225" s="5">
        <f t="shared" si="2"/>
        <v>-49319.73869</v>
      </c>
      <c r="H225" s="5">
        <f t="shared" si="3"/>
        <v>2432436624</v>
      </c>
      <c r="I225" s="5">
        <f t="shared" si="4"/>
        <v>49319.73869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>
        <v>641564.6</v>
      </c>
      <c r="B226" s="5">
        <v>68212.29</v>
      </c>
      <c r="C226" s="5">
        <v>4713.0</v>
      </c>
      <c r="D226" s="5">
        <v>15.0</v>
      </c>
      <c r="E226" s="5">
        <v>1.0</v>
      </c>
      <c r="F226" s="5">
        <f t="shared" si="1"/>
        <v>645067.6318</v>
      </c>
      <c r="G226" s="5">
        <f t="shared" si="2"/>
        <v>-3503.031793</v>
      </c>
      <c r="H226" s="5">
        <f t="shared" si="3"/>
        <v>12271231.74</v>
      </c>
      <c r="I226" s="5">
        <f t="shared" si="4"/>
        <v>3503.031793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>
        <v>536545.49</v>
      </c>
      <c r="B227" s="5">
        <v>57225.98</v>
      </c>
      <c r="C227" s="5">
        <v>2842.0</v>
      </c>
      <c r="D227" s="5">
        <v>10.0</v>
      </c>
      <c r="E227" s="5">
        <v>0.0</v>
      </c>
      <c r="F227" s="5">
        <f t="shared" si="1"/>
        <v>556559.4506</v>
      </c>
      <c r="G227" s="5">
        <f t="shared" si="2"/>
        <v>-20013.96061</v>
      </c>
      <c r="H227" s="5">
        <f t="shared" si="3"/>
        <v>400558619.3</v>
      </c>
      <c r="I227" s="5">
        <f t="shared" si="4"/>
        <v>20013.96061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>
        <v>527681.56</v>
      </c>
      <c r="B228" s="5">
        <v>42932.02</v>
      </c>
      <c r="C228" s="5">
        <v>3872.0</v>
      </c>
      <c r="D228" s="5">
        <v>12.0</v>
      </c>
      <c r="E228" s="5">
        <v>0.0</v>
      </c>
      <c r="F228" s="5">
        <f t="shared" si="1"/>
        <v>575039.9662</v>
      </c>
      <c r="G228" s="5">
        <f t="shared" si="2"/>
        <v>-47358.40617</v>
      </c>
      <c r="H228" s="5">
        <f t="shared" si="3"/>
        <v>2242818635</v>
      </c>
      <c r="I228" s="5">
        <f t="shared" si="4"/>
        <v>47358.40617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>
        <v>529598.94</v>
      </c>
      <c r="B229" s="5">
        <v>39341.45</v>
      </c>
      <c r="C229" s="5">
        <v>1375.0</v>
      </c>
      <c r="D229" s="5">
        <v>5.0</v>
      </c>
      <c r="E229" s="5">
        <v>0.0</v>
      </c>
      <c r="F229" s="5">
        <f t="shared" si="1"/>
        <v>482563.9027</v>
      </c>
      <c r="G229" s="5">
        <f t="shared" si="2"/>
        <v>47035.03734</v>
      </c>
      <c r="H229" s="5">
        <f t="shared" si="3"/>
        <v>2212294738</v>
      </c>
      <c r="I229" s="5">
        <f t="shared" si="4"/>
        <v>47035.03734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>
        <v>570963.31</v>
      </c>
      <c r="B230" s="5">
        <v>37324.23</v>
      </c>
      <c r="C230" s="5">
        <v>5957.0</v>
      </c>
      <c r="D230" s="5">
        <v>12.0</v>
      </c>
      <c r="E230" s="5">
        <v>0.0</v>
      </c>
      <c r="F230" s="5">
        <f t="shared" si="1"/>
        <v>629977.4155</v>
      </c>
      <c r="G230" s="5">
        <f t="shared" si="2"/>
        <v>-59014.10555</v>
      </c>
      <c r="H230" s="5">
        <f t="shared" si="3"/>
        <v>3482664654</v>
      </c>
      <c r="I230" s="5">
        <f t="shared" si="4"/>
        <v>59014.10555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>
        <v>870937.4</v>
      </c>
      <c r="B231" s="5">
        <v>113736.0</v>
      </c>
      <c r="C231" s="5">
        <v>8961.0</v>
      </c>
      <c r="D231" s="5">
        <v>24.0</v>
      </c>
      <c r="E231" s="5">
        <v>0.0</v>
      </c>
      <c r="F231" s="5">
        <f t="shared" si="1"/>
        <v>830073.2962</v>
      </c>
      <c r="G231" s="5">
        <f t="shared" si="2"/>
        <v>40864.10375</v>
      </c>
      <c r="H231" s="5">
        <f t="shared" si="3"/>
        <v>1669874976</v>
      </c>
      <c r="I231" s="5">
        <f t="shared" si="4"/>
        <v>40864.10375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>
        <v>596969.27</v>
      </c>
      <c r="B232" s="5">
        <v>33173.95</v>
      </c>
      <c r="C232" s="5">
        <v>6545.0</v>
      </c>
      <c r="D232" s="5">
        <v>15.0</v>
      </c>
      <c r="E232" s="5">
        <v>0.0</v>
      </c>
      <c r="F232" s="5">
        <f t="shared" si="1"/>
        <v>649044.2914</v>
      </c>
      <c r="G232" s="5">
        <f t="shared" si="2"/>
        <v>-52075.02136</v>
      </c>
      <c r="H232" s="5">
        <f t="shared" si="3"/>
        <v>2711807849</v>
      </c>
      <c r="I232" s="5">
        <f t="shared" si="4"/>
        <v>52075.02136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>
        <v>647512.85</v>
      </c>
      <c r="B233" s="5">
        <v>25818.08</v>
      </c>
      <c r="C233" s="5">
        <v>5457.0</v>
      </c>
      <c r="D233" s="5">
        <v>11.0</v>
      </c>
      <c r="E233" s="5">
        <v>0.0</v>
      </c>
      <c r="F233" s="5">
        <f t="shared" si="1"/>
        <v>600185.8216</v>
      </c>
      <c r="G233" s="5">
        <f t="shared" si="2"/>
        <v>47327.02843</v>
      </c>
      <c r="H233" s="5">
        <f t="shared" si="3"/>
        <v>2239847620</v>
      </c>
      <c r="I233" s="5">
        <f t="shared" si="4"/>
        <v>47327.02843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>
        <v>658072.14</v>
      </c>
      <c r="B234" s="5">
        <v>47241.92</v>
      </c>
      <c r="C234" s="5">
        <v>4264.0</v>
      </c>
      <c r="D234" s="5">
        <v>13.0</v>
      </c>
      <c r="E234" s="5">
        <v>0.0</v>
      </c>
      <c r="F234" s="5">
        <f t="shared" si="1"/>
        <v>593560.423</v>
      </c>
      <c r="G234" s="5">
        <f t="shared" si="2"/>
        <v>64511.71695</v>
      </c>
      <c r="H234" s="5">
        <f t="shared" si="3"/>
        <v>4161761624</v>
      </c>
      <c r="I234" s="5">
        <f t="shared" si="4"/>
        <v>64511.71695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>
        <v>723305.11</v>
      </c>
      <c r="B235" s="5">
        <v>61650.79</v>
      </c>
      <c r="C235" s="5">
        <v>5321.0</v>
      </c>
      <c r="D235" s="5">
        <v>17.0</v>
      </c>
      <c r="E235" s="5">
        <v>0.0</v>
      </c>
      <c r="F235" s="5">
        <f t="shared" si="1"/>
        <v>649445.5932</v>
      </c>
      <c r="G235" s="5">
        <f t="shared" si="2"/>
        <v>73859.5168</v>
      </c>
      <c r="H235" s="5">
        <f t="shared" si="3"/>
        <v>5455228223</v>
      </c>
      <c r="I235" s="5">
        <f t="shared" si="4"/>
        <v>73859.5168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>
        <v>640666.53</v>
      </c>
      <c r="B236" s="5">
        <v>62582.71</v>
      </c>
      <c r="C236" s="5">
        <v>5479.0</v>
      </c>
      <c r="D236" s="5">
        <v>16.0</v>
      </c>
      <c r="E236" s="5">
        <v>0.0</v>
      </c>
      <c r="F236" s="5">
        <f t="shared" si="1"/>
        <v>652980.8538</v>
      </c>
      <c r="G236" s="5">
        <f t="shared" si="2"/>
        <v>-12314.3238</v>
      </c>
      <c r="H236" s="5">
        <f t="shared" si="3"/>
        <v>151642570.7</v>
      </c>
      <c r="I236" s="5">
        <f t="shared" si="4"/>
        <v>12314.3238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>
        <v>670629.48</v>
      </c>
      <c r="B237" s="5">
        <v>47944.14</v>
      </c>
      <c r="C237" s="5">
        <v>6169.0</v>
      </c>
      <c r="D237" s="5">
        <v>17.0</v>
      </c>
      <c r="E237" s="5">
        <v>0.0</v>
      </c>
      <c r="F237" s="5">
        <f t="shared" si="1"/>
        <v>658930.932</v>
      </c>
      <c r="G237" s="5">
        <f t="shared" si="2"/>
        <v>11698.54804</v>
      </c>
      <c r="H237" s="5">
        <f t="shared" si="3"/>
        <v>136856026.2</v>
      </c>
      <c r="I237" s="5">
        <f t="shared" si="4"/>
        <v>11698.54804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>
        <v>721079.35</v>
      </c>
      <c r="B238" s="5">
        <v>46495.4</v>
      </c>
      <c r="C238" s="5">
        <v>9908.0</v>
      </c>
      <c r="D238" s="5">
        <v>22.0</v>
      </c>
      <c r="E238" s="5">
        <v>0.0</v>
      </c>
      <c r="F238" s="5">
        <f t="shared" si="1"/>
        <v>777910.7256</v>
      </c>
      <c r="G238" s="5">
        <f t="shared" si="2"/>
        <v>-56831.37557</v>
      </c>
      <c r="H238" s="5">
        <f t="shared" si="3"/>
        <v>3229805249</v>
      </c>
      <c r="I238" s="5">
        <f t="shared" si="4"/>
        <v>56831.37557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>
        <v>810355.02</v>
      </c>
      <c r="B239" s="5">
        <v>72961.95</v>
      </c>
      <c r="C239" s="5">
        <v>9996.0</v>
      </c>
      <c r="D239" s="5">
        <v>22.0</v>
      </c>
      <c r="E239" s="5">
        <v>0.0</v>
      </c>
      <c r="F239" s="5">
        <f t="shared" si="1"/>
        <v>810280.8748</v>
      </c>
      <c r="G239" s="5">
        <f t="shared" si="2"/>
        <v>74.14523095</v>
      </c>
      <c r="H239" s="5">
        <f t="shared" si="3"/>
        <v>5497.515273</v>
      </c>
      <c r="I239" s="5">
        <f t="shared" si="4"/>
        <v>74.14523095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>
        <v>761919.25</v>
      </c>
      <c r="B240" s="5">
        <v>59060.05</v>
      </c>
      <c r="C240" s="5">
        <v>9702.0</v>
      </c>
      <c r="D240" s="5">
        <v>23.0</v>
      </c>
      <c r="E240" s="5">
        <v>0.0</v>
      </c>
      <c r="F240" s="5">
        <f t="shared" si="1"/>
        <v>788154.2818</v>
      </c>
      <c r="G240" s="5">
        <f t="shared" si="2"/>
        <v>-26235.03176</v>
      </c>
      <c r="H240" s="5">
        <f t="shared" si="3"/>
        <v>688276891.6</v>
      </c>
      <c r="I240" s="5">
        <f t="shared" si="4"/>
        <v>26235.03176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>
        <v>737070.18</v>
      </c>
      <c r="B241" s="5">
        <v>26248.1</v>
      </c>
      <c r="C241" s="5">
        <v>9314.0</v>
      </c>
      <c r="D241" s="5">
        <v>21.0</v>
      </c>
      <c r="E241" s="5">
        <v>0.0</v>
      </c>
      <c r="F241" s="5">
        <f t="shared" si="1"/>
        <v>735520.6457</v>
      </c>
      <c r="G241" s="5">
        <f t="shared" si="2"/>
        <v>1549.534306</v>
      </c>
      <c r="H241" s="5">
        <f t="shared" si="3"/>
        <v>2401056.566</v>
      </c>
      <c r="I241" s="5">
        <f t="shared" si="4"/>
        <v>1549.534306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>
        <v>776992.93</v>
      </c>
      <c r="B242" s="5">
        <v>69900.12</v>
      </c>
      <c r="C242" s="5">
        <v>8055.0</v>
      </c>
      <c r="D242" s="5">
        <v>22.0</v>
      </c>
      <c r="E242" s="5">
        <v>1.0</v>
      </c>
      <c r="F242" s="5">
        <f t="shared" si="1"/>
        <v>760224.8624</v>
      </c>
      <c r="G242" s="5">
        <f t="shared" si="2"/>
        <v>16768.06762</v>
      </c>
      <c r="H242" s="5">
        <f t="shared" si="3"/>
        <v>281168091.6</v>
      </c>
      <c r="I242" s="5">
        <f t="shared" si="4"/>
        <v>16768.06762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>
        <v>676337.41</v>
      </c>
      <c r="B243" s="5">
        <v>51781.6</v>
      </c>
      <c r="C243" s="5">
        <v>5648.0</v>
      </c>
      <c r="D243" s="5">
        <v>13.0</v>
      </c>
      <c r="E243" s="5">
        <v>0.0</v>
      </c>
      <c r="F243" s="5">
        <f t="shared" si="1"/>
        <v>639325.3132</v>
      </c>
      <c r="G243" s="5">
        <f t="shared" si="2"/>
        <v>37012.09685</v>
      </c>
      <c r="H243" s="5">
        <f t="shared" si="3"/>
        <v>1369895313</v>
      </c>
      <c r="I243" s="5">
        <f t="shared" si="4"/>
        <v>37012.09685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>
        <v>828219.67</v>
      </c>
      <c r="B244" s="5">
        <v>70799.64</v>
      </c>
      <c r="C244" s="5">
        <v>10076.0</v>
      </c>
      <c r="D244" s="5">
        <v>24.0</v>
      </c>
      <c r="E244" s="5">
        <v>0.0</v>
      </c>
      <c r="F244" s="5">
        <f t="shared" si="1"/>
        <v>814507.245</v>
      </c>
      <c r="G244" s="5">
        <f t="shared" si="2"/>
        <v>13712.42497</v>
      </c>
      <c r="H244" s="5">
        <f t="shared" si="3"/>
        <v>188030598.4</v>
      </c>
      <c r="I244" s="5">
        <f t="shared" si="4"/>
        <v>13712.42497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>
        <v>763159.92</v>
      </c>
      <c r="B245" s="5">
        <v>53546.34</v>
      </c>
      <c r="C245" s="5">
        <v>8004.0</v>
      </c>
      <c r="D245" s="5">
        <v>21.0</v>
      </c>
      <c r="E245" s="5">
        <v>0.0</v>
      </c>
      <c r="F245" s="5">
        <f t="shared" si="1"/>
        <v>727759.5095</v>
      </c>
      <c r="G245" s="5">
        <f t="shared" si="2"/>
        <v>35400.41052</v>
      </c>
      <c r="H245" s="5">
        <f t="shared" si="3"/>
        <v>1253189065</v>
      </c>
      <c r="I245" s="5">
        <f t="shared" si="4"/>
        <v>35400.41052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>
        <v>802001.68</v>
      </c>
      <c r="B246" s="5">
        <v>76942.2</v>
      </c>
      <c r="C246" s="5">
        <v>8934.0</v>
      </c>
      <c r="D246" s="5">
        <v>20.0</v>
      </c>
      <c r="E246" s="5">
        <v>0.0</v>
      </c>
      <c r="F246" s="5">
        <f t="shared" si="1"/>
        <v>779253.4309</v>
      </c>
      <c r="G246" s="5">
        <f t="shared" si="2"/>
        <v>22748.24906</v>
      </c>
      <c r="H246" s="5">
        <f t="shared" si="3"/>
        <v>517482835.4</v>
      </c>
      <c r="I246" s="5">
        <f t="shared" si="4"/>
        <v>22748.24906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>
        <v>750471.34</v>
      </c>
      <c r="B247" s="5">
        <v>48060.78</v>
      </c>
      <c r="C247" s="5">
        <v>8733.0</v>
      </c>
      <c r="D247" s="5">
        <v>20.0</v>
      </c>
      <c r="E247" s="5">
        <v>0.0</v>
      </c>
      <c r="F247" s="5">
        <f t="shared" si="1"/>
        <v>740846.1643</v>
      </c>
      <c r="G247" s="5">
        <f t="shared" si="2"/>
        <v>9625.175688</v>
      </c>
      <c r="H247" s="5">
        <f t="shared" si="3"/>
        <v>92644007.03</v>
      </c>
      <c r="I247" s="5">
        <f t="shared" si="4"/>
        <v>9625.175688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>
        <v>679230.86</v>
      </c>
      <c r="B248" s="5">
        <v>57390.04</v>
      </c>
      <c r="C248" s="5">
        <v>7374.0</v>
      </c>
      <c r="D248" s="5">
        <v>21.0</v>
      </c>
      <c r="E248" s="5">
        <v>0.0</v>
      </c>
      <c r="F248" s="5">
        <f t="shared" si="1"/>
        <v>713578.4517</v>
      </c>
      <c r="G248" s="5">
        <f t="shared" si="2"/>
        <v>-34347.59166</v>
      </c>
      <c r="H248" s="5">
        <f t="shared" si="3"/>
        <v>1179757053</v>
      </c>
      <c r="I248" s="5">
        <f t="shared" si="4"/>
        <v>34347.59166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>
        <v>679888.74</v>
      </c>
      <c r="B249" s="5">
        <v>21536.18</v>
      </c>
      <c r="C249" s="5">
        <v>8119.0</v>
      </c>
      <c r="D249" s="5">
        <v>20.0</v>
      </c>
      <c r="E249" s="5">
        <v>0.0</v>
      </c>
      <c r="F249" s="5">
        <f t="shared" si="1"/>
        <v>692959.0573</v>
      </c>
      <c r="G249" s="5">
        <f t="shared" si="2"/>
        <v>-13070.3173</v>
      </c>
      <c r="H249" s="5">
        <f t="shared" si="3"/>
        <v>170833194.3</v>
      </c>
      <c r="I249" s="5">
        <f t="shared" si="4"/>
        <v>13070.3173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>
        <v>606783.67</v>
      </c>
      <c r="B250" s="5">
        <v>40923.67</v>
      </c>
      <c r="C250" s="5">
        <v>3875.0</v>
      </c>
      <c r="D250" s="5">
        <v>10.0</v>
      </c>
      <c r="E250" s="5">
        <v>0.0</v>
      </c>
      <c r="F250" s="5">
        <f t="shared" si="1"/>
        <v>568558.1782</v>
      </c>
      <c r="G250" s="5">
        <f t="shared" si="2"/>
        <v>38225.49178</v>
      </c>
      <c r="H250" s="5">
        <f t="shared" si="3"/>
        <v>1461188222</v>
      </c>
      <c r="I250" s="5">
        <f t="shared" si="4"/>
        <v>38225.49178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>
        <v>642751.42</v>
      </c>
      <c r="B251" s="5">
        <v>72932.55</v>
      </c>
      <c r="C251" s="5">
        <v>5765.0</v>
      </c>
      <c r="D251" s="5">
        <v>17.0</v>
      </c>
      <c r="E251" s="5">
        <v>0.0</v>
      </c>
      <c r="F251" s="5">
        <f t="shared" si="1"/>
        <v>675184.7484</v>
      </c>
      <c r="G251" s="5">
        <f t="shared" si="2"/>
        <v>-32433.3284</v>
      </c>
      <c r="H251" s="5">
        <f t="shared" si="3"/>
        <v>1051920791</v>
      </c>
      <c r="I251" s="5">
        <f t="shared" si="4"/>
        <v>32433.3284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>
        <v>647953.78</v>
      </c>
      <c r="B252" s="5">
        <v>38361.93</v>
      </c>
      <c r="C252" s="5">
        <v>6322.0</v>
      </c>
      <c r="D252" s="5">
        <v>15.0</v>
      </c>
      <c r="E252" s="5">
        <v>0.0</v>
      </c>
      <c r="F252" s="5">
        <f t="shared" si="1"/>
        <v>648331.9859</v>
      </c>
      <c r="G252" s="5">
        <f t="shared" si="2"/>
        <v>-378.2058549</v>
      </c>
      <c r="H252" s="5">
        <f t="shared" si="3"/>
        <v>143039.6687</v>
      </c>
      <c r="I252" s="5">
        <f t="shared" si="4"/>
        <v>378.2058549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>
        <v>729440.45</v>
      </c>
      <c r="B253" s="5">
        <v>97480.94</v>
      </c>
      <c r="C253" s="5">
        <v>6840.0</v>
      </c>
      <c r="D253" s="5">
        <v>14.0</v>
      </c>
      <c r="E253" s="5">
        <v>0.0</v>
      </c>
      <c r="F253" s="5">
        <f t="shared" si="1"/>
        <v>727925.4445</v>
      </c>
      <c r="G253" s="5">
        <f t="shared" si="2"/>
        <v>1515.005536</v>
      </c>
      <c r="H253" s="5">
        <f t="shared" si="3"/>
        <v>2295241.774</v>
      </c>
      <c r="I253" s="5">
        <f t="shared" si="4"/>
        <v>1515.005536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>
        <v>764949.0</v>
      </c>
      <c r="B254" s="5">
        <v>81801.8</v>
      </c>
      <c r="C254" s="5">
        <v>6782.0</v>
      </c>
      <c r="D254" s="5">
        <v>16.0</v>
      </c>
      <c r="E254" s="5">
        <v>0.0</v>
      </c>
      <c r="F254" s="5">
        <f t="shared" si="1"/>
        <v>712886.3135</v>
      </c>
      <c r="G254" s="5">
        <f t="shared" si="2"/>
        <v>52062.68647</v>
      </c>
      <c r="H254" s="5">
        <f t="shared" si="3"/>
        <v>2710523322</v>
      </c>
      <c r="I254" s="5">
        <f t="shared" si="4"/>
        <v>52062.68647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>
        <v>799046.94</v>
      </c>
      <c r="B255" s="5">
        <v>63582.11</v>
      </c>
      <c r="C255" s="5">
        <v>6856.0</v>
      </c>
      <c r="D255" s="5">
        <v>17.0</v>
      </c>
      <c r="E255" s="5">
        <v>0.0</v>
      </c>
      <c r="F255" s="5">
        <f t="shared" si="1"/>
        <v>696710.8052</v>
      </c>
      <c r="G255" s="5">
        <f t="shared" si="2"/>
        <v>102336.1348</v>
      </c>
      <c r="H255" s="5">
        <f t="shared" si="3"/>
        <v>10472684480</v>
      </c>
      <c r="I255" s="5">
        <f t="shared" si="4"/>
        <v>102336.1348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>
        <v>720079.54</v>
      </c>
      <c r="B256" s="5">
        <v>75412.74</v>
      </c>
      <c r="C256" s="5">
        <v>5641.0</v>
      </c>
      <c r="D256" s="5">
        <v>13.0</v>
      </c>
      <c r="E256" s="5">
        <v>0.0</v>
      </c>
      <c r="F256" s="5">
        <f t="shared" si="1"/>
        <v>665713.8381</v>
      </c>
      <c r="G256" s="5">
        <f t="shared" si="2"/>
        <v>54365.70195</v>
      </c>
      <c r="H256" s="5">
        <f t="shared" si="3"/>
        <v>2955629548</v>
      </c>
      <c r="I256" s="5">
        <f t="shared" si="4"/>
        <v>54365.70195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>
        <v>612390.14</v>
      </c>
      <c r="B257" s="5">
        <v>36290.08</v>
      </c>
      <c r="C257" s="5">
        <v>5787.0</v>
      </c>
      <c r="D257" s="5">
        <v>17.0</v>
      </c>
      <c r="E257" s="5">
        <v>0.0</v>
      </c>
      <c r="F257" s="5">
        <f t="shared" si="1"/>
        <v>634594.0902</v>
      </c>
      <c r="G257" s="5">
        <f t="shared" si="2"/>
        <v>-22203.95023</v>
      </c>
      <c r="H257" s="5">
        <f t="shared" si="3"/>
        <v>493015405.8</v>
      </c>
      <c r="I257" s="5">
        <f t="shared" si="4"/>
        <v>22203.95023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>
        <v>840108.12</v>
      </c>
      <c r="B258" s="5">
        <v>65272.58</v>
      </c>
      <c r="C258" s="5">
        <v>8165.0</v>
      </c>
      <c r="D258" s="5">
        <v>19.0</v>
      </c>
      <c r="E258" s="5">
        <v>1.0</v>
      </c>
      <c r="F258" s="5">
        <f t="shared" si="1"/>
        <v>751783.8037</v>
      </c>
      <c r="G258" s="5">
        <f t="shared" si="2"/>
        <v>88324.31633</v>
      </c>
      <c r="H258" s="5">
        <f t="shared" si="3"/>
        <v>7801184855</v>
      </c>
      <c r="I258" s="5">
        <f t="shared" si="4"/>
        <v>88324.31633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>
        <v>697888.09</v>
      </c>
      <c r="B259" s="5">
        <v>28670.43</v>
      </c>
      <c r="C259" s="5">
        <v>7574.0</v>
      </c>
      <c r="D259" s="5">
        <v>19.0</v>
      </c>
      <c r="E259" s="5">
        <v>0.0</v>
      </c>
      <c r="F259" s="5">
        <f t="shared" si="1"/>
        <v>682823.2017</v>
      </c>
      <c r="G259" s="5">
        <f t="shared" si="2"/>
        <v>15064.88827</v>
      </c>
      <c r="H259" s="5">
        <f t="shared" si="3"/>
        <v>226950858.7</v>
      </c>
      <c r="I259" s="5">
        <f t="shared" si="4"/>
        <v>15064.88827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>
        <v>746115.59</v>
      </c>
      <c r="B260" s="5">
        <v>44189.34</v>
      </c>
      <c r="C260" s="5">
        <v>8634.0</v>
      </c>
      <c r="D260" s="5">
        <v>19.0</v>
      </c>
      <c r="E260" s="5">
        <v>0.0</v>
      </c>
      <c r="F260" s="5">
        <f t="shared" si="1"/>
        <v>731426.2304</v>
      </c>
      <c r="G260" s="5">
        <f t="shared" si="2"/>
        <v>14689.3596</v>
      </c>
      <c r="H260" s="5">
        <f t="shared" si="3"/>
        <v>215777285.5</v>
      </c>
      <c r="I260" s="5">
        <f t="shared" si="4"/>
        <v>14689.3596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>
        <v>776110.32</v>
      </c>
      <c r="B261" s="5">
        <v>38397.82</v>
      </c>
      <c r="C261" s="5">
        <v>7836.0</v>
      </c>
      <c r="D261" s="5">
        <v>21.0</v>
      </c>
      <c r="E261" s="5">
        <v>0.0</v>
      </c>
      <c r="F261" s="5">
        <f t="shared" si="1"/>
        <v>705776.4555</v>
      </c>
      <c r="G261" s="5">
        <f t="shared" si="2"/>
        <v>70333.86448</v>
      </c>
      <c r="H261" s="5">
        <f t="shared" si="3"/>
        <v>4946852492</v>
      </c>
      <c r="I261" s="5">
        <f t="shared" si="4"/>
        <v>70333.86448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>
        <v>528852.62</v>
      </c>
      <c r="B262" s="5">
        <v>14519.37</v>
      </c>
      <c r="C262" s="5">
        <v>3047.0</v>
      </c>
      <c r="D262" s="5">
        <v>10.0</v>
      </c>
      <c r="E262" s="5">
        <v>0.0</v>
      </c>
      <c r="F262" s="5">
        <f t="shared" si="1"/>
        <v>514520.0509</v>
      </c>
      <c r="G262" s="5">
        <f t="shared" si="2"/>
        <v>14332.56912</v>
      </c>
      <c r="H262" s="5">
        <f t="shared" si="3"/>
        <v>205422537.5</v>
      </c>
      <c r="I262" s="5">
        <f t="shared" si="4"/>
        <v>14332.56912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>
        <v>605751.33</v>
      </c>
      <c r="B263" s="5">
        <v>43288.2</v>
      </c>
      <c r="C263" s="5">
        <v>4783.0</v>
      </c>
      <c r="D263" s="5">
        <v>13.0</v>
      </c>
      <c r="E263" s="5">
        <v>0.0</v>
      </c>
      <c r="F263" s="5">
        <f t="shared" si="1"/>
        <v>604356.9609</v>
      </c>
      <c r="G263" s="5">
        <f t="shared" si="2"/>
        <v>1394.369116</v>
      </c>
      <c r="H263" s="5">
        <f t="shared" si="3"/>
        <v>1944265.231</v>
      </c>
      <c r="I263" s="5">
        <f t="shared" si="4"/>
        <v>1394.369116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>
        <v>677640.65</v>
      </c>
      <c r="B264" s="5">
        <v>51450.55</v>
      </c>
      <c r="C264" s="5">
        <v>4902.0</v>
      </c>
      <c r="D264" s="5">
        <v>11.0</v>
      </c>
      <c r="E264" s="5">
        <v>1.0</v>
      </c>
      <c r="F264" s="5">
        <f t="shared" si="1"/>
        <v>623136.7228</v>
      </c>
      <c r="G264" s="5">
        <f t="shared" si="2"/>
        <v>54503.92724</v>
      </c>
      <c r="H264" s="5">
        <f t="shared" si="3"/>
        <v>2970678085</v>
      </c>
      <c r="I264" s="5">
        <f t="shared" si="4"/>
        <v>54503.92724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>
        <v>636613.23</v>
      </c>
      <c r="B265" s="5">
        <v>58688.26</v>
      </c>
      <c r="C265" s="5">
        <v>4022.0</v>
      </c>
      <c r="D265" s="5">
        <v>12.0</v>
      </c>
      <c r="E265" s="5">
        <v>0.0</v>
      </c>
      <c r="F265" s="5">
        <f t="shared" si="1"/>
        <v>597178.1768</v>
      </c>
      <c r="G265" s="5">
        <f t="shared" si="2"/>
        <v>39435.05324</v>
      </c>
      <c r="H265" s="5">
        <f t="shared" si="3"/>
        <v>1555123424</v>
      </c>
      <c r="I265" s="5">
        <f t="shared" si="4"/>
        <v>39435.05324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>
        <v>708985.19</v>
      </c>
      <c r="B266" s="5">
        <v>58981.91</v>
      </c>
      <c r="C266" s="5">
        <v>7324.0</v>
      </c>
      <c r="D266" s="5">
        <v>15.0</v>
      </c>
      <c r="E266" s="5">
        <v>0.0</v>
      </c>
      <c r="F266" s="5">
        <f t="shared" si="1"/>
        <v>700971.8957</v>
      </c>
      <c r="G266" s="5">
        <f t="shared" si="2"/>
        <v>8013.294339</v>
      </c>
      <c r="H266" s="5">
        <f t="shared" si="3"/>
        <v>64212886.17</v>
      </c>
      <c r="I266" s="5">
        <f t="shared" si="4"/>
        <v>8013.294339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>
        <v>767792.94</v>
      </c>
      <c r="B267" s="5">
        <v>73454.54</v>
      </c>
      <c r="C267" s="5">
        <v>8129.0</v>
      </c>
      <c r="D267" s="5">
        <v>20.0</v>
      </c>
      <c r="E267" s="5">
        <v>0.0</v>
      </c>
      <c r="F267" s="5">
        <f t="shared" si="1"/>
        <v>751681.0118</v>
      </c>
      <c r="G267" s="5">
        <f t="shared" si="2"/>
        <v>16111.92819</v>
      </c>
      <c r="H267" s="5">
        <f t="shared" si="3"/>
        <v>259594230</v>
      </c>
      <c r="I267" s="5">
        <f t="shared" si="4"/>
        <v>16111.92819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>
        <v>745580.51</v>
      </c>
      <c r="B268" s="5">
        <v>56602.39</v>
      </c>
      <c r="C268" s="5">
        <v>7969.0</v>
      </c>
      <c r="D268" s="5">
        <v>21.0</v>
      </c>
      <c r="E268" s="5">
        <v>0.0</v>
      </c>
      <c r="F268" s="5">
        <f t="shared" si="1"/>
        <v>730170.5952</v>
      </c>
      <c r="G268" s="5">
        <f t="shared" si="2"/>
        <v>15409.91475</v>
      </c>
      <c r="H268" s="5">
        <f t="shared" si="3"/>
        <v>237465472.7</v>
      </c>
      <c r="I268" s="5">
        <f t="shared" si="4"/>
        <v>15409.91475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>
        <v>762328.31</v>
      </c>
      <c r="B269" s="5">
        <v>67722.29</v>
      </c>
      <c r="C269" s="5">
        <v>7240.0</v>
      </c>
      <c r="D269" s="5">
        <v>15.0</v>
      </c>
      <c r="E269" s="5">
        <v>0.0</v>
      </c>
      <c r="F269" s="5">
        <f t="shared" si="1"/>
        <v>708340.6367</v>
      </c>
      <c r="G269" s="5">
        <f t="shared" si="2"/>
        <v>53987.6733</v>
      </c>
      <c r="H269" s="5">
        <f t="shared" si="3"/>
        <v>2914668868</v>
      </c>
      <c r="I269" s="5">
        <f t="shared" si="4"/>
        <v>53987.6733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>
        <v>660633.99</v>
      </c>
      <c r="B270" s="5">
        <v>48752.92</v>
      </c>
      <c r="C270" s="5">
        <v>8052.0</v>
      </c>
      <c r="D270" s="5">
        <v>16.0</v>
      </c>
      <c r="E270" s="5">
        <v>0.0</v>
      </c>
      <c r="F270" s="5">
        <f t="shared" si="1"/>
        <v>713000.731</v>
      </c>
      <c r="G270" s="5">
        <f t="shared" si="2"/>
        <v>-52366.74096</v>
      </c>
      <c r="H270" s="5">
        <f t="shared" si="3"/>
        <v>2742275559</v>
      </c>
      <c r="I270" s="5">
        <f t="shared" si="4"/>
        <v>52366.74096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>
        <v>739374.56</v>
      </c>
      <c r="B271" s="5">
        <v>23914.97</v>
      </c>
      <c r="C271" s="5">
        <v>8018.0</v>
      </c>
      <c r="D271" s="5">
        <v>20.0</v>
      </c>
      <c r="E271" s="5">
        <v>0.0</v>
      </c>
      <c r="F271" s="5">
        <f t="shared" si="1"/>
        <v>692669.1665</v>
      </c>
      <c r="G271" s="5">
        <f t="shared" si="2"/>
        <v>46705.39346</v>
      </c>
      <c r="H271" s="5">
        <f t="shared" si="3"/>
        <v>2181393778</v>
      </c>
      <c r="I271" s="5">
        <f t="shared" si="4"/>
        <v>46705.39346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>
        <v>799756.46</v>
      </c>
      <c r="B272" s="5">
        <v>61995.3</v>
      </c>
      <c r="C272" s="5">
        <v>10192.0</v>
      </c>
      <c r="D272" s="5">
        <v>21.0</v>
      </c>
      <c r="E272" s="5">
        <v>1.0</v>
      </c>
      <c r="F272" s="5">
        <f t="shared" si="1"/>
        <v>811949.9307</v>
      </c>
      <c r="G272" s="5">
        <f t="shared" si="2"/>
        <v>-12193.47072</v>
      </c>
      <c r="H272" s="5">
        <f t="shared" si="3"/>
        <v>148680728.3</v>
      </c>
      <c r="I272" s="5">
        <f t="shared" si="4"/>
        <v>12193.47072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>
        <v>593343.0</v>
      </c>
      <c r="B273" s="5">
        <v>29344.93</v>
      </c>
      <c r="C273" s="5">
        <v>7446.0</v>
      </c>
      <c r="D273" s="5">
        <v>15.0</v>
      </c>
      <c r="E273" s="5">
        <v>0.0</v>
      </c>
      <c r="F273" s="5">
        <f t="shared" si="1"/>
        <v>671202.6902</v>
      </c>
      <c r="G273" s="5">
        <f t="shared" si="2"/>
        <v>-77859.69019</v>
      </c>
      <c r="H273" s="5">
        <f t="shared" si="3"/>
        <v>6062131357</v>
      </c>
      <c r="I273" s="5">
        <f t="shared" si="4"/>
        <v>77859.69019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>
        <v>645039.97</v>
      </c>
      <c r="B274" s="5">
        <v>50532.17</v>
      </c>
      <c r="C274" s="5">
        <v>5689.0</v>
      </c>
      <c r="D274" s="5">
        <v>17.0</v>
      </c>
      <c r="E274" s="5">
        <v>0.0</v>
      </c>
      <c r="F274" s="5">
        <f t="shared" si="1"/>
        <v>647743.1188</v>
      </c>
      <c r="G274" s="5">
        <f t="shared" si="2"/>
        <v>-2703.148784</v>
      </c>
      <c r="H274" s="5">
        <f t="shared" si="3"/>
        <v>7307013.349</v>
      </c>
      <c r="I274" s="5">
        <f t="shared" si="4"/>
        <v>2703.148784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>
        <v>561597.33</v>
      </c>
      <c r="B275" s="5">
        <v>17562.57</v>
      </c>
      <c r="C275" s="5">
        <v>3326.0</v>
      </c>
      <c r="D275" s="5">
        <v>14.0</v>
      </c>
      <c r="E275" s="5">
        <v>0.0</v>
      </c>
      <c r="F275" s="5">
        <f t="shared" si="1"/>
        <v>534760.1439</v>
      </c>
      <c r="G275" s="5">
        <f t="shared" si="2"/>
        <v>26837.18607</v>
      </c>
      <c r="H275" s="5">
        <f t="shared" si="3"/>
        <v>720234556.2</v>
      </c>
      <c r="I275" s="5">
        <f t="shared" si="4"/>
        <v>26837.18607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>
        <v>635837.74</v>
      </c>
      <c r="B276" s="5">
        <v>47648.71</v>
      </c>
      <c r="C276" s="5">
        <v>5767.0</v>
      </c>
      <c r="D276" s="5">
        <v>17.0</v>
      </c>
      <c r="E276" s="5">
        <v>0.0</v>
      </c>
      <c r="F276" s="5">
        <f t="shared" si="1"/>
        <v>646789.4194</v>
      </c>
      <c r="G276" s="5">
        <f t="shared" si="2"/>
        <v>-10951.67939</v>
      </c>
      <c r="H276" s="5">
        <f t="shared" si="3"/>
        <v>119939281.5</v>
      </c>
      <c r="I276" s="5">
        <f t="shared" si="4"/>
        <v>10951.67939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>
        <v>686737.87</v>
      </c>
      <c r="B277" s="5">
        <v>38297.58</v>
      </c>
      <c r="C277" s="5">
        <v>5893.0</v>
      </c>
      <c r="D277" s="5">
        <v>18.0</v>
      </c>
      <c r="E277" s="5">
        <v>0.0</v>
      </c>
      <c r="F277" s="5">
        <f t="shared" si="1"/>
        <v>642122.0021</v>
      </c>
      <c r="G277" s="5">
        <f t="shared" si="2"/>
        <v>44615.86786</v>
      </c>
      <c r="H277" s="5">
        <f t="shared" si="3"/>
        <v>1990575665</v>
      </c>
      <c r="I277" s="5">
        <f t="shared" si="4"/>
        <v>44615.86786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>
        <v>673076.34</v>
      </c>
      <c r="B278" s="5">
        <v>61784.11</v>
      </c>
      <c r="C278" s="5">
        <v>8564.0</v>
      </c>
      <c r="D278" s="5">
        <v>17.0</v>
      </c>
      <c r="E278" s="5">
        <v>1.0</v>
      </c>
      <c r="F278" s="5">
        <f t="shared" si="1"/>
        <v>755269.0948</v>
      </c>
      <c r="G278" s="5">
        <f t="shared" si="2"/>
        <v>-82192.75478</v>
      </c>
      <c r="H278" s="5">
        <f t="shared" si="3"/>
        <v>6755648939</v>
      </c>
      <c r="I278" s="5">
        <f t="shared" si="4"/>
        <v>82192.75478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>
        <v>738548.42</v>
      </c>
      <c r="B279" s="5">
        <v>36832.33</v>
      </c>
      <c r="C279" s="5">
        <v>8001.0</v>
      </c>
      <c r="D279" s="5">
        <v>19.0</v>
      </c>
      <c r="E279" s="5">
        <v>0.0</v>
      </c>
      <c r="F279" s="5">
        <f t="shared" si="1"/>
        <v>704551.9228</v>
      </c>
      <c r="G279" s="5">
        <f t="shared" si="2"/>
        <v>33996.4972</v>
      </c>
      <c r="H279" s="5">
        <f t="shared" si="3"/>
        <v>1155761822</v>
      </c>
      <c r="I279" s="5">
        <f t="shared" si="4"/>
        <v>33996.4972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>
        <v>756619.77</v>
      </c>
      <c r="B280" s="5">
        <v>48609.41</v>
      </c>
      <c r="C280" s="5">
        <v>9324.0</v>
      </c>
      <c r="D280" s="5">
        <v>18.0</v>
      </c>
      <c r="E280" s="5">
        <v>0.0</v>
      </c>
      <c r="F280" s="5">
        <f t="shared" si="1"/>
        <v>754514.8898</v>
      </c>
      <c r="G280" s="5">
        <f t="shared" si="2"/>
        <v>2104.880213</v>
      </c>
      <c r="H280" s="5">
        <f t="shared" si="3"/>
        <v>4430520.713</v>
      </c>
      <c r="I280" s="5">
        <f t="shared" si="4"/>
        <v>2104.880213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>
        <v>761122.42</v>
      </c>
      <c r="B281" s="5">
        <v>70284.06</v>
      </c>
      <c r="C281" s="5">
        <v>9109.0</v>
      </c>
      <c r="D281" s="5">
        <v>23.0</v>
      </c>
      <c r="E281" s="5">
        <v>0.0</v>
      </c>
      <c r="F281" s="5">
        <f t="shared" si="1"/>
        <v>783365.8234</v>
      </c>
      <c r="G281" s="5">
        <f t="shared" si="2"/>
        <v>-22243.40342</v>
      </c>
      <c r="H281" s="5">
        <f t="shared" si="3"/>
        <v>494768995.8</v>
      </c>
      <c r="I281" s="5">
        <f t="shared" si="4"/>
        <v>22243.40342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>
        <v>524899.57</v>
      </c>
      <c r="B282" s="5">
        <v>45940.39</v>
      </c>
      <c r="C282" s="5">
        <v>4022.0</v>
      </c>
      <c r="D282" s="5">
        <v>10.0</v>
      </c>
      <c r="E282" s="5">
        <v>1.0</v>
      </c>
      <c r="F282" s="5">
        <f t="shared" si="1"/>
        <v>588930.1583</v>
      </c>
      <c r="G282" s="5">
        <f t="shared" si="2"/>
        <v>-64030.58828</v>
      </c>
      <c r="H282" s="5">
        <f t="shared" si="3"/>
        <v>4099916235</v>
      </c>
      <c r="I282" s="5">
        <f t="shared" si="4"/>
        <v>64030.58828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>
        <v>555557.77</v>
      </c>
      <c r="B283" s="5">
        <v>34771.26</v>
      </c>
      <c r="C283" s="5">
        <v>4355.0</v>
      </c>
      <c r="D283" s="5">
        <v>15.0</v>
      </c>
      <c r="E283" s="5">
        <v>0.0</v>
      </c>
      <c r="F283" s="5">
        <f t="shared" si="1"/>
        <v>586509.0531</v>
      </c>
      <c r="G283" s="5">
        <f t="shared" si="2"/>
        <v>-30951.28311</v>
      </c>
      <c r="H283" s="5">
        <f t="shared" si="3"/>
        <v>957981926</v>
      </c>
      <c r="I283" s="5">
        <f t="shared" si="4"/>
        <v>30951.28311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>
        <v>714083.68</v>
      </c>
      <c r="B284" s="5">
        <v>66104.19</v>
      </c>
      <c r="C284" s="5">
        <v>5745.0</v>
      </c>
      <c r="D284" s="5">
        <v>17.0</v>
      </c>
      <c r="E284" s="5">
        <v>0.0</v>
      </c>
      <c r="F284" s="5">
        <f t="shared" si="1"/>
        <v>666912.693</v>
      </c>
      <c r="G284" s="5">
        <f t="shared" si="2"/>
        <v>47170.987</v>
      </c>
      <c r="H284" s="5">
        <f t="shared" si="3"/>
        <v>2225102015</v>
      </c>
      <c r="I284" s="5">
        <f t="shared" si="4"/>
        <v>47170.987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>
        <v>497439.82</v>
      </c>
      <c r="B285" s="5">
        <v>18599.21</v>
      </c>
      <c r="C285" s="5">
        <v>3027.0</v>
      </c>
      <c r="D285" s="5">
        <v>11.0</v>
      </c>
      <c r="E285" s="5">
        <v>0.0</v>
      </c>
      <c r="F285" s="5">
        <f t="shared" si="1"/>
        <v>520678.8045</v>
      </c>
      <c r="G285" s="5">
        <f t="shared" si="2"/>
        <v>-23238.98447</v>
      </c>
      <c r="H285" s="5">
        <f t="shared" si="3"/>
        <v>540050399</v>
      </c>
      <c r="I285" s="5">
        <f t="shared" si="4"/>
        <v>23238.98447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>
        <v>636775.66</v>
      </c>
      <c r="B286" s="5">
        <v>60183.06</v>
      </c>
      <c r="C286" s="5">
        <v>5562.0</v>
      </c>
      <c r="D286" s="5">
        <v>13.0</v>
      </c>
      <c r="E286" s="5">
        <v>1.0</v>
      </c>
      <c r="F286" s="5">
        <f t="shared" si="1"/>
        <v>656661.8894</v>
      </c>
      <c r="G286" s="5">
        <f t="shared" si="2"/>
        <v>-19886.22939</v>
      </c>
      <c r="H286" s="5">
        <f t="shared" si="3"/>
        <v>395462119.3</v>
      </c>
      <c r="I286" s="5">
        <f t="shared" si="4"/>
        <v>19886.22939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>
        <v>633009.53</v>
      </c>
      <c r="B287" s="5">
        <v>74539.14</v>
      </c>
      <c r="C287" s="5">
        <v>4487.0</v>
      </c>
      <c r="D287" s="5">
        <v>10.0</v>
      </c>
      <c r="E287" s="5">
        <v>0.0</v>
      </c>
      <c r="F287" s="5">
        <f t="shared" si="1"/>
        <v>624366.4999</v>
      </c>
      <c r="G287" s="5">
        <f t="shared" si="2"/>
        <v>8643.030139</v>
      </c>
      <c r="H287" s="5">
        <f t="shared" si="3"/>
        <v>74701969.98</v>
      </c>
      <c r="I287" s="5">
        <f t="shared" si="4"/>
        <v>8643.030139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>
        <v>609949.0</v>
      </c>
      <c r="B288" s="5">
        <v>55371.97</v>
      </c>
      <c r="C288" s="5">
        <v>4162.0</v>
      </c>
      <c r="D288" s="5">
        <v>11.0</v>
      </c>
      <c r="E288" s="5">
        <v>1.0</v>
      </c>
      <c r="F288" s="5">
        <f t="shared" si="1"/>
        <v>605811.8007</v>
      </c>
      <c r="G288" s="5">
        <f t="shared" si="2"/>
        <v>4137.199349</v>
      </c>
      <c r="H288" s="5">
        <f t="shared" si="3"/>
        <v>17116418.45</v>
      </c>
      <c r="I288" s="5">
        <f t="shared" si="4"/>
        <v>4137.199349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>
        <v>548103.7</v>
      </c>
      <c r="B289" s="5">
        <v>40928.69</v>
      </c>
      <c r="C289" s="5">
        <v>4094.0</v>
      </c>
      <c r="D289" s="5">
        <v>13.0</v>
      </c>
      <c r="E289" s="5">
        <v>0.0</v>
      </c>
      <c r="F289" s="5">
        <f t="shared" si="1"/>
        <v>581461.7296</v>
      </c>
      <c r="G289" s="5">
        <f t="shared" si="2"/>
        <v>-33358.02963</v>
      </c>
      <c r="H289" s="5">
        <f t="shared" si="3"/>
        <v>1112758141</v>
      </c>
      <c r="I289" s="5">
        <f t="shared" si="4"/>
        <v>33358.02963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>
        <v>729424.42</v>
      </c>
      <c r="B290" s="5">
        <v>70012.41</v>
      </c>
      <c r="C290" s="5">
        <v>8484.0</v>
      </c>
      <c r="D290" s="5">
        <v>23.0</v>
      </c>
      <c r="E290" s="5">
        <v>0.0</v>
      </c>
      <c r="F290" s="5">
        <f t="shared" si="1"/>
        <v>764700.2868</v>
      </c>
      <c r="G290" s="5">
        <f t="shared" si="2"/>
        <v>-35275.86679</v>
      </c>
      <c r="H290" s="5">
        <f t="shared" si="3"/>
        <v>1244386778</v>
      </c>
      <c r="I290" s="5">
        <f t="shared" si="4"/>
        <v>35275.86679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>
        <v>696261.49</v>
      </c>
      <c r="B291" s="5">
        <v>68909.26</v>
      </c>
      <c r="C291" s="5">
        <v>7794.0</v>
      </c>
      <c r="D291" s="5">
        <v>22.0</v>
      </c>
      <c r="E291" s="5">
        <v>0.0</v>
      </c>
      <c r="F291" s="5">
        <f t="shared" si="1"/>
        <v>741034.6968</v>
      </c>
      <c r="G291" s="5">
        <f t="shared" si="2"/>
        <v>-44773.20677</v>
      </c>
      <c r="H291" s="5">
        <f t="shared" si="3"/>
        <v>2004640045</v>
      </c>
      <c r="I291" s="5">
        <f t="shared" si="4"/>
        <v>44773.20677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>
        <v>813316.71</v>
      </c>
      <c r="B292" s="5">
        <v>56737.3</v>
      </c>
      <c r="C292" s="5">
        <v>8300.0</v>
      </c>
      <c r="D292" s="5">
        <v>21.0</v>
      </c>
      <c r="E292" s="5">
        <v>1.0</v>
      </c>
      <c r="F292" s="5">
        <f t="shared" si="1"/>
        <v>750453.7871</v>
      </c>
      <c r="G292" s="5">
        <f t="shared" si="2"/>
        <v>62862.92286</v>
      </c>
      <c r="H292" s="5">
        <f t="shared" si="3"/>
        <v>3951747070</v>
      </c>
      <c r="I292" s="5">
        <f t="shared" si="4"/>
        <v>62862.92286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>
        <v>702068.92</v>
      </c>
      <c r="B293" s="5">
        <v>54080.91</v>
      </c>
      <c r="C293" s="5">
        <v>7083.0</v>
      </c>
      <c r="D293" s="5">
        <v>15.0</v>
      </c>
      <c r="E293" s="5">
        <v>0.0</v>
      </c>
      <c r="F293" s="5">
        <f t="shared" si="1"/>
        <v>688376.83</v>
      </c>
      <c r="G293" s="5">
        <f t="shared" si="2"/>
        <v>13692.09002</v>
      </c>
      <c r="H293" s="5">
        <f t="shared" si="3"/>
        <v>187473329</v>
      </c>
      <c r="I293" s="5">
        <f t="shared" si="4"/>
        <v>13692.09002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>
        <v>546223.7</v>
      </c>
      <c r="B294" s="5">
        <v>51996.32</v>
      </c>
      <c r="C294" s="5">
        <v>3834.0</v>
      </c>
      <c r="D294" s="5">
        <v>8.0</v>
      </c>
      <c r="E294" s="5">
        <v>0.0</v>
      </c>
      <c r="F294" s="5">
        <f t="shared" si="1"/>
        <v>575505.0333</v>
      </c>
      <c r="G294" s="5">
        <f t="shared" si="2"/>
        <v>-29281.33327</v>
      </c>
      <c r="H294" s="5">
        <f t="shared" si="3"/>
        <v>857396477.8</v>
      </c>
      <c r="I294" s="5">
        <f t="shared" si="4"/>
        <v>29281.33327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>
        <v>533121.26</v>
      </c>
      <c r="B295" s="5">
        <v>40102.88</v>
      </c>
      <c r="C295" s="5">
        <v>2358.0</v>
      </c>
      <c r="D295" s="5">
        <v>9.0</v>
      </c>
      <c r="E295" s="5">
        <v>0.0</v>
      </c>
      <c r="F295" s="5">
        <f t="shared" si="1"/>
        <v>520916.6311</v>
      </c>
      <c r="G295" s="5">
        <f t="shared" si="2"/>
        <v>12204.62893</v>
      </c>
      <c r="H295" s="5">
        <f t="shared" si="3"/>
        <v>148952967.2</v>
      </c>
      <c r="I295" s="5">
        <f t="shared" si="4"/>
        <v>12204.62893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>
        <v>498970.32</v>
      </c>
      <c r="B296" s="5">
        <v>59825.51</v>
      </c>
      <c r="C296" s="5">
        <v>1231.0</v>
      </c>
      <c r="D296" s="5">
        <v>10.0</v>
      </c>
      <c r="E296" s="5">
        <v>0.0</v>
      </c>
      <c r="F296" s="5">
        <f t="shared" si="1"/>
        <v>512160.6391</v>
      </c>
      <c r="G296" s="5">
        <f t="shared" si="2"/>
        <v>-13190.31911</v>
      </c>
      <c r="H296" s="5">
        <f t="shared" si="3"/>
        <v>173984518.3</v>
      </c>
      <c r="I296" s="5">
        <f t="shared" si="4"/>
        <v>13190.31911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>
        <v>487738.26</v>
      </c>
      <c r="B297" s="5">
        <v>27398.28</v>
      </c>
      <c r="C297" s="5">
        <v>1723.0</v>
      </c>
      <c r="D297" s="5">
        <v>9.0</v>
      </c>
      <c r="E297" s="5">
        <v>0.0</v>
      </c>
      <c r="F297" s="5">
        <f t="shared" si="1"/>
        <v>487965.4689</v>
      </c>
      <c r="G297" s="5">
        <f t="shared" si="2"/>
        <v>-227.2089271</v>
      </c>
      <c r="H297" s="5">
        <f t="shared" si="3"/>
        <v>51623.89656</v>
      </c>
      <c r="I297" s="5">
        <f t="shared" si="4"/>
        <v>227.2089271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>
        <v>668459.37</v>
      </c>
      <c r="B298" s="5">
        <v>55599.56</v>
      </c>
      <c r="C298" s="5">
        <v>5896.0</v>
      </c>
      <c r="D298" s="5">
        <v>12.0</v>
      </c>
      <c r="E298" s="5">
        <v>0.0</v>
      </c>
      <c r="F298" s="5">
        <f t="shared" si="1"/>
        <v>648752.2977</v>
      </c>
      <c r="G298" s="5">
        <f t="shared" si="2"/>
        <v>19707.07225</v>
      </c>
      <c r="H298" s="5">
        <f t="shared" si="3"/>
        <v>388368696.8</v>
      </c>
      <c r="I298" s="5">
        <f t="shared" si="4"/>
        <v>19707.07225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>
        <v>763162.45</v>
      </c>
      <c r="B299" s="5">
        <v>55477.61</v>
      </c>
      <c r="C299" s="5">
        <v>5903.0</v>
      </c>
      <c r="D299" s="5">
        <v>14.0</v>
      </c>
      <c r="E299" s="5">
        <v>0.0</v>
      </c>
      <c r="F299" s="5">
        <f t="shared" si="1"/>
        <v>653130.433</v>
      </c>
      <c r="G299" s="5">
        <f t="shared" si="2"/>
        <v>110032.017</v>
      </c>
      <c r="H299" s="5">
        <f t="shared" si="3"/>
        <v>12107044756</v>
      </c>
      <c r="I299" s="5">
        <f t="shared" si="4"/>
        <v>110032.017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>
        <v>599017.33</v>
      </c>
      <c r="B300" s="5">
        <v>46174.7</v>
      </c>
      <c r="C300" s="5">
        <v>4898.0</v>
      </c>
      <c r="D300" s="5">
        <v>11.0</v>
      </c>
      <c r="E300" s="5">
        <v>0.0</v>
      </c>
      <c r="F300" s="5">
        <f t="shared" si="1"/>
        <v>606673.8495</v>
      </c>
      <c r="G300" s="5">
        <f t="shared" si="2"/>
        <v>-7656.519494</v>
      </c>
      <c r="H300" s="5">
        <f t="shared" si="3"/>
        <v>58622290.76</v>
      </c>
      <c r="I300" s="5">
        <f t="shared" si="4"/>
        <v>7656.519494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>
        <v>401582.58</v>
      </c>
      <c r="B301" s="5">
        <v>24362.98</v>
      </c>
      <c r="C301" s="5">
        <v>1462.0</v>
      </c>
      <c r="D301" s="5">
        <v>6.0</v>
      </c>
      <c r="E301" s="5">
        <v>0.0</v>
      </c>
      <c r="F301" s="5">
        <f t="shared" si="1"/>
        <v>470417.9024</v>
      </c>
      <c r="G301" s="5">
        <f t="shared" si="2"/>
        <v>-68835.32244</v>
      </c>
      <c r="H301" s="5">
        <f t="shared" si="3"/>
        <v>4738301616</v>
      </c>
      <c r="I301" s="5">
        <f t="shared" si="4"/>
        <v>68835.32244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>
        <v>703812.99</v>
      </c>
      <c r="B302" s="5">
        <v>40647.67</v>
      </c>
      <c r="C302" s="5">
        <v>8252.0</v>
      </c>
      <c r="D302" s="5">
        <v>22.0</v>
      </c>
      <c r="E302" s="5">
        <v>1.0</v>
      </c>
      <c r="F302" s="5">
        <f t="shared" si="1"/>
        <v>733091.5807</v>
      </c>
      <c r="G302" s="5">
        <f t="shared" si="2"/>
        <v>-29278.59067</v>
      </c>
      <c r="H302" s="5">
        <f t="shared" si="3"/>
        <v>857235871.5</v>
      </c>
      <c r="I302" s="5">
        <f t="shared" si="4"/>
        <v>29278.59067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>
        <v>724346.73</v>
      </c>
      <c r="B303" s="5">
        <v>63986.98</v>
      </c>
      <c r="C303" s="5">
        <v>7989.0</v>
      </c>
      <c r="D303" s="5">
        <v>20.0</v>
      </c>
      <c r="E303" s="5">
        <v>0.0</v>
      </c>
      <c r="F303" s="5">
        <f t="shared" si="1"/>
        <v>736913.7511</v>
      </c>
      <c r="G303" s="5">
        <f t="shared" si="2"/>
        <v>-12567.02108</v>
      </c>
      <c r="H303" s="5">
        <f t="shared" si="3"/>
        <v>157930018.9</v>
      </c>
      <c r="I303" s="5">
        <f t="shared" si="4"/>
        <v>12567.02108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>
        <v>730890.01</v>
      </c>
      <c r="B304" s="5">
        <v>52843.75</v>
      </c>
      <c r="C304" s="5">
        <v>8268.0</v>
      </c>
      <c r="D304" s="5">
        <v>19.0</v>
      </c>
      <c r="E304" s="5">
        <v>1.0</v>
      </c>
      <c r="F304" s="5">
        <f t="shared" si="1"/>
        <v>740822.2712</v>
      </c>
      <c r="G304" s="5">
        <f t="shared" si="2"/>
        <v>-9932.261201</v>
      </c>
      <c r="H304" s="5">
        <f t="shared" si="3"/>
        <v>98649812.57</v>
      </c>
      <c r="I304" s="5">
        <f t="shared" si="4"/>
        <v>9932.261201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>
        <v>780580.95</v>
      </c>
      <c r="B305" s="5">
        <v>31997.25</v>
      </c>
      <c r="C305" s="5">
        <v>8183.0</v>
      </c>
      <c r="D305" s="5">
        <v>18.0</v>
      </c>
      <c r="E305" s="5">
        <v>0.0</v>
      </c>
      <c r="F305" s="5">
        <f t="shared" si="1"/>
        <v>702302.0994</v>
      </c>
      <c r="G305" s="5">
        <f t="shared" si="2"/>
        <v>78278.85056</v>
      </c>
      <c r="H305" s="5">
        <f t="shared" si="3"/>
        <v>6127578444</v>
      </c>
      <c r="I305" s="5">
        <f t="shared" si="4"/>
        <v>78278.85056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>
        <v>727957.48</v>
      </c>
      <c r="B306" s="5">
        <v>54948.02</v>
      </c>
      <c r="C306" s="5">
        <v>6534.0</v>
      </c>
      <c r="D306" s="5">
        <v>14.0</v>
      </c>
      <c r="E306" s="5">
        <v>0.0</v>
      </c>
      <c r="F306" s="5">
        <f t="shared" si="1"/>
        <v>671070.5197</v>
      </c>
      <c r="G306" s="5">
        <f t="shared" si="2"/>
        <v>56886.96031</v>
      </c>
      <c r="H306" s="5">
        <f t="shared" si="3"/>
        <v>3236126253</v>
      </c>
      <c r="I306" s="5">
        <f t="shared" si="4"/>
        <v>56886.96031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>
        <v>538376.0</v>
      </c>
      <c r="B307" s="5">
        <v>46146.24</v>
      </c>
      <c r="C307" s="5">
        <v>5804.0</v>
      </c>
      <c r="D307" s="5">
        <v>16.0</v>
      </c>
      <c r="E307" s="5">
        <v>0.0</v>
      </c>
      <c r="F307" s="5">
        <f t="shared" si="1"/>
        <v>644030.5893</v>
      </c>
      <c r="G307" s="5">
        <f t="shared" si="2"/>
        <v>-105654.5893</v>
      </c>
      <c r="H307" s="5">
        <f t="shared" si="3"/>
        <v>11162892234</v>
      </c>
      <c r="I307" s="5">
        <f t="shared" si="4"/>
        <v>105654.5893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>
        <v>665342.49</v>
      </c>
      <c r="B308" s="5">
        <v>22387.26</v>
      </c>
      <c r="C308" s="5">
        <v>6301.0</v>
      </c>
      <c r="D308" s="5">
        <v>14.0</v>
      </c>
      <c r="E308" s="5">
        <v>1.0</v>
      </c>
      <c r="F308" s="5">
        <f t="shared" si="1"/>
        <v>637990.5546</v>
      </c>
      <c r="G308" s="5">
        <f t="shared" si="2"/>
        <v>27351.93538</v>
      </c>
      <c r="H308" s="5">
        <f t="shared" si="3"/>
        <v>748128369.2</v>
      </c>
      <c r="I308" s="5">
        <f t="shared" si="4"/>
        <v>27351.93538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>
        <v>651164.18</v>
      </c>
      <c r="B309" s="5">
        <v>60684.05</v>
      </c>
      <c r="C309" s="5">
        <v>6399.0</v>
      </c>
      <c r="D309" s="5">
        <v>16.0</v>
      </c>
      <c r="E309" s="5">
        <v>0.0</v>
      </c>
      <c r="F309" s="5">
        <f t="shared" si="1"/>
        <v>677869.7915</v>
      </c>
      <c r="G309" s="5">
        <f t="shared" si="2"/>
        <v>-26705.61152</v>
      </c>
      <c r="H309" s="5">
        <f t="shared" si="3"/>
        <v>713189686.5</v>
      </c>
      <c r="I309" s="5">
        <f t="shared" si="4"/>
        <v>26705.61152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>
        <v>628538.3</v>
      </c>
      <c r="B310" s="5">
        <v>48465.6</v>
      </c>
      <c r="C310" s="5">
        <v>5759.0</v>
      </c>
      <c r="D310" s="5">
        <v>13.0</v>
      </c>
      <c r="E310" s="5">
        <v>0.0</v>
      </c>
      <c r="F310" s="5">
        <f t="shared" si="1"/>
        <v>638854.2381</v>
      </c>
      <c r="G310" s="5">
        <f t="shared" si="2"/>
        <v>-10315.93807</v>
      </c>
      <c r="H310" s="5">
        <f t="shared" si="3"/>
        <v>106418578.3</v>
      </c>
      <c r="I310" s="5">
        <f t="shared" si="4"/>
        <v>10315.93807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>
        <v>536524.84</v>
      </c>
      <c r="B311" s="5">
        <v>23702.38</v>
      </c>
      <c r="C311" s="5">
        <v>5285.0</v>
      </c>
      <c r="D311" s="5">
        <v>14.0</v>
      </c>
      <c r="E311" s="5">
        <v>0.0</v>
      </c>
      <c r="F311" s="5">
        <f t="shared" si="1"/>
        <v>599216.8375</v>
      </c>
      <c r="G311" s="5">
        <f t="shared" si="2"/>
        <v>-62691.99747</v>
      </c>
      <c r="H311" s="5">
        <f t="shared" si="3"/>
        <v>3930286546</v>
      </c>
      <c r="I311" s="5">
        <f t="shared" si="4"/>
        <v>62691.99747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>
        <v>621677.3</v>
      </c>
      <c r="B312" s="5">
        <v>54322.94</v>
      </c>
      <c r="C312" s="5">
        <v>5434.0</v>
      </c>
      <c r="D312" s="5">
        <v>13.0</v>
      </c>
      <c r="E312" s="5">
        <v>0.0</v>
      </c>
      <c r="F312" s="5">
        <f t="shared" si="1"/>
        <v>635898.8974</v>
      </c>
      <c r="G312" s="5">
        <f t="shared" si="2"/>
        <v>-14221.59744</v>
      </c>
      <c r="H312" s="5">
        <f t="shared" si="3"/>
        <v>202253833.8</v>
      </c>
      <c r="I312" s="5">
        <f t="shared" si="4"/>
        <v>14221.59744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>
        <v>771129.07</v>
      </c>
      <c r="B313" s="5">
        <v>86026.58</v>
      </c>
      <c r="C313" s="5">
        <v>7479.0</v>
      </c>
      <c r="D313" s="5">
        <v>20.0</v>
      </c>
      <c r="E313" s="5">
        <v>0.0</v>
      </c>
      <c r="F313" s="5">
        <f t="shared" si="1"/>
        <v>746735.1915</v>
      </c>
      <c r="G313" s="5">
        <f t="shared" si="2"/>
        <v>24393.87848</v>
      </c>
      <c r="H313" s="5">
        <f t="shared" si="3"/>
        <v>595061307.4</v>
      </c>
      <c r="I313" s="5">
        <f t="shared" si="4"/>
        <v>24393.87848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>
        <v>702052.47</v>
      </c>
      <c r="B314" s="5">
        <v>78967.52</v>
      </c>
      <c r="C314" s="5">
        <v>6164.0</v>
      </c>
      <c r="D314" s="5">
        <v>16.0</v>
      </c>
      <c r="E314" s="5">
        <v>0.0</v>
      </c>
      <c r="F314" s="5">
        <f t="shared" si="1"/>
        <v>691542.4589</v>
      </c>
      <c r="G314" s="5">
        <f t="shared" si="2"/>
        <v>10510.01107</v>
      </c>
      <c r="H314" s="5">
        <f t="shared" si="3"/>
        <v>110460332.7</v>
      </c>
      <c r="I314" s="5">
        <f t="shared" si="4"/>
        <v>10510.01107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>
        <v>688368.46</v>
      </c>
      <c r="B315" s="5">
        <v>46767.99</v>
      </c>
      <c r="C315" s="5">
        <v>7973.0</v>
      </c>
      <c r="D315" s="5">
        <v>18.0</v>
      </c>
      <c r="E315" s="5">
        <v>0.0</v>
      </c>
      <c r="F315" s="5">
        <f t="shared" si="1"/>
        <v>712755.9826</v>
      </c>
      <c r="G315" s="5">
        <f t="shared" si="2"/>
        <v>-24387.52259</v>
      </c>
      <c r="H315" s="5">
        <f t="shared" si="3"/>
        <v>594751258.2</v>
      </c>
      <c r="I315" s="5">
        <f t="shared" si="4"/>
        <v>24387.52259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>
        <v>712375.77</v>
      </c>
      <c r="B316" s="5">
        <v>62507.16</v>
      </c>
      <c r="C316" s="5">
        <v>6000.0</v>
      </c>
      <c r="D316" s="5">
        <v>14.0</v>
      </c>
      <c r="E316" s="5">
        <v>1.0</v>
      </c>
      <c r="F316" s="5">
        <f t="shared" si="1"/>
        <v>674298.8378</v>
      </c>
      <c r="G316" s="5">
        <f t="shared" si="2"/>
        <v>38076.93217</v>
      </c>
      <c r="H316" s="5">
        <f t="shared" si="3"/>
        <v>1449852763</v>
      </c>
      <c r="I316" s="5">
        <f t="shared" si="4"/>
        <v>38076.93217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>
        <v>844710.67</v>
      </c>
      <c r="B317" s="5">
        <v>66456.28</v>
      </c>
      <c r="C317" s="5">
        <v>9967.0</v>
      </c>
      <c r="D317" s="5">
        <v>20.0</v>
      </c>
      <c r="E317" s="5">
        <v>0.0</v>
      </c>
      <c r="F317" s="5">
        <f t="shared" si="1"/>
        <v>797797.8426</v>
      </c>
      <c r="G317" s="5">
        <f t="shared" si="2"/>
        <v>46912.82738</v>
      </c>
      <c r="H317" s="5">
        <f t="shared" si="3"/>
        <v>2200813373</v>
      </c>
      <c r="I317" s="5">
        <f t="shared" si="4"/>
        <v>46912.82738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>
        <v>620264.2</v>
      </c>
      <c r="B318" s="5">
        <v>76614.32</v>
      </c>
      <c r="C318" s="5">
        <v>5639.0</v>
      </c>
      <c r="D318" s="5">
        <v>15.0</v>
      </c>
      <c r="E318" s="5">
        <v>1.0</v>
      </c>
      <c r="F318" s="5">
        <f t="shared" si="1"/>
        <v>681725.0765</v>
      </c>
      <c r="G318" s="5">
        <f t="shared" si="2"/>
        <v>-61460.87651</v>
      </c>
      <c r="H318" s="5">
        <f t="shared" si="3"/>
        <v>3777439341</v>
      </c>
      <c r="I318" s="5">
        <f t="shared" si="4"/>
        <v>61460.87651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>
        <v>536845.42</v>
      </c>
      <c r="B319" s="5">
        <v>24088.06</v>
      </c>
      <c r="C319" s="5">
        <v>3466.0</v>
      </c>
      <c r="D319" s="5">
        <v>11.0</v>
      </c>
      <c r="E319" s="5">
        <v>0.0</v>
      </c>
      <c r="F319" s="5">
        <f t="shared" si="1"/>
        <v>539751.821</v>
      </c>
      <c r="G319" s="5">
        <f t="shared" si="2"/>
        <v>-2906.401049</v>
      </c>
      <c r="H319" s="5">
        <f t="shared" si="3"/>
        <v>8447167.058</v>
      </c>
      <c r="I319" s="5">
        <f t="shared" si="4"/>
        <v>2906.401049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>
        <v>726776.22</v>
      </c>
      <c r="B320" s="5">
        <v>81902.58</v>
      </c>
      <c r="C320" s="5">
        <v>7775.0</v>
      </c>
      <c r="D320" s="5">
        <v>20.0</v>
      </c>
      <c r="E320" s="5">
        <v>1.0</v>
      </c>
      <c r="F320" s="5">
        <f t="shared" si="1"/>
        <v>761197.3153</v>
      </c>
      <c r="G320" s="5">
        <f t="shared" si="2"/>
        <v>-34421.09535</v>
      </c>
      <c r="H320" s="5">
        <f t="shared" si="3"/>
        <v>1184811805</v>
      </c>
      <c r="I320" s="5">
        <f t="shared" si="4"/>
        <v>34421.09535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>
        <v>559660.84</v>
      </c>
      <c r="B321" s="5">
        <v>40553.11</v>
      </c>
      <c r="C321" s="5">
        <v>5317.0</v>
      </c>
      <c r="D321" s="5">
        <v>17.0</v>
      </c>
      <c r="E321" s="5">
        <v>0.0</v>
      </c>
      <c r="F321" s="5">
        <f t="shared" si="1"/>
        <v>625585.0559</v>
      </c>
      <c r="G321" s="5">
        <f t="shared" si="2"/>
        <v>-65924.21587</v>
      </c>
      <c r="H321" s="5">
        <f t="shared" si="3"/>
        <v>4346002238</v>
      </c>
      <c r="I321" s="5">
        <f t="shared" si="4"/>
        <v>65924.21587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9.29"/>
    <col customWidth="1" min="3" max="3" width="44.57"/>
    <col customWidth="1" min="4" max="4" width="15.43"/>
    <col customWidth="1" min="5" max="5" width="27.29"/>
    <col customWidth="1" min="6" max="6" width="47.57"/>
  </cols>
  <sheetData>
    <row r="1">
      <c r="A1" s="36" t="s">
        <v>144</v>
      </c>
      <c r="B1" s="37"/>
      <c r="C1" s="3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8" t="s">
        <v>145</v>
      </c>
      <c r="B3" s="38" t="s">
        <v>114</v>
      </c>
      <c r="C3" s="38" t="s">
        <v>146</v>
      </c>
      <c r="D3" s="39" t="s">
        <v>147</v>
      </c>
      <c r="E3" s="38" t="s">
        <v>148</v>
      </c>
      <c r="F3" s="38" t="s">
        <v>149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0" t="s">
        <v>150</v>
      </c>
      <c r="B4" s="40" t="s">
        <v>12</v>
      </c>
      <c r="C4" s="40" t="s">
        <v>4</v>
      </c>
      <c r="D4" s="41">
        <v>0.1672</v>
      </c>
      <c r="E4" s="40" t="s">
        <v>4</v>
      </c>
      <c r="F4" s="40" t="s">
        <v>151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0" t="s">
        <v>152</v>
      </c>
      <c r="B5" s="40" t="s">
        <v>12</v>
      </c>
      <c r="C5" s="40" t="s">
        <v>5</v>
      </c>
      <c r="D5" s="41">
        <v>0.7363</v>
      </c>
      <c r="E5" s="40" t="s">
        <v>5</v>
      </c>
      <c r="F5" s="40" t="s">
        <v>153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0" t="s">
        <v>154</v>
      </c>
      <c r="B6" s="40" t="s">
        <v>12</v>
      </c>
      <c r="C6" s="40" t="s">
        <v>155</v>
      </c>
      <c r="D6" s="41">
        <v>0.7848</v>
      </c>
      <c r="E6" s="40" t="s">
        <v>156</v>
      </c>
      <c r="F6" s="40" t="s">
        <v>157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8" t="s">
        <v>158</v>
      </c>
      <c r="B10" s="38" t="s">
        <v>145</v>
      </c>
      <c r="C10" s="38" t="s">
        <v>147</v>
      </c>
      <c r="D10" s="38" t="s">
        <v>159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2">
        <v>1.0</v>
      </c>
      <c r="B11" s="43" t="s">
        <v>154</v>
      </c>
      <c r="C11" s="42">
        <v>0.7848</v>
      </c>
      <c r="D11" s="40" t="s">
        <v>160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2">
        <v>2.0</v>
      </c>
      <c r="B12" s="43" t="s">
        <v>161</v>
      </c>
      <c r="C12" s="42">
        <v>0.7363</v>
      </c>
      <c r="D12" s="40" t="s">
        <v>162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2">
        <v>3.0</v>
      </c>
      <c r="B13" s="43" t="s">
        <v>163</v>
      </c>
      <c r="C13" s="42">
        <v>0.1672</v>
      </c>
      <c r="D13" s="40" t="s">
        <v>164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2026-06-23T07:37:51Z</dcterms:created>
  <dc:creator>openpyxl</dc:creator>
</cp:coreProperties>
</file>